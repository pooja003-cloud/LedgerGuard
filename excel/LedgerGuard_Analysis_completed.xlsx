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5"/>
    <sheet state="visible" name="Gross_to_Net" sheetId="2" r:id="rId6"/>
    <sheet state="visible" name="Returns_Reserve" sheetId="3" r:id="rId7"/>
    <sheet state="visible" name="CFO_Exception_Desk" sheetId="4" r:id="rId8"/>
    <sheet state="visible" name="Exceptions" sheetId="5" r:id="rId9"/>
    <sheet state="visible" name="Pivot_Exceptions" sheetId="6" r:id="rId10"/>
    <sheet state="visible" name="Shipments" sheetId="7" r:id="rId11"/>
    <sheet state="visible" name="Contract_Terms" sheetId="8" r:id="rId12"/>
  </sheets>
  <definedNames>
    <definedName hidden="1" localSheetId="4" name="Z_1B8D2570_DE6F_41D8_9BC6_E7F889BD1349_.wvu.FilterData">Exceptions!$A$1:$I$41</definedName>
    <definedName hidden="1" localSheetId="6" name="Z_653EB82C_09A9_44B9_892F_58E5C3EEAC74_.wvu.FilterData">Shipments!$A$1:$M$1001</definedName>
    <definedName hidden="1" localSheetId="7" name="Z_F60E6F16_A8BD_479A_AE2C_31018BE5F582_.wvu.FilterData">Contract_Terms!$A$1:$F$10</definedName>
  </definedNames>
  <calcPr/>
  <customWorkbookViews>
    <customWorkbookView activeSheetId="0" maximized="1" windowHeight="0" windowWidth="0" guid="{1B8D2570-DE6F-41D8-9BC6-E7F889BD1349}" name="tblExceptions filter view"/>
    <customWorkbookView activeSheetId="0" maximized="1" windowHeight="0" windowWidth="0" guid="{653EB82C-09A9-44B9-892F-58E5C3EEAC74}" name="tblShipments filter view"/>
    <customWorkbookView activeSheetId="0" maximized="1" windowHeight="0" windowWidth="0" guid="{F60E6F16-A8BD-479A-AE2C-31018BE5F582}" name="tblContractTerms filter view"/>
  </customWorkbookViews>
  <pivotCaches>
    <pivotCache cacheId="0" r:id="rId13"/>
  </pivotCaches>
</workbook>
</file>

<file path=xl/sharedStrings.xml><?xml version="1.0" encoding="utf-8"?>
<sst xmlns="http://schemas.openxmlformats.org/spreadsheetml/2006/main" count="5397" uniqueCount="1119">
  <si>
    <t>Returns Reserve Analysis: AI Laptop 14</t>
  </si>
  <si>
    <t>LedgerGuard: Revenue Leakage Analysis</t>
  </si>
  <si>
    <t>Inputs</t>
  </si>
  <si>
    <t>Simulated data for a PC hardware vendor selling to Best Buy, Amazon and Costco (Sep 2025 - Oct 15, 2026).</t>
  </si>
  <si>
    <t>No real company data is used. Prices and contract terms are illustrative.</t>
  </si>
  <si>
    <t>Sheets</t>
  </si>
  <si>
    <t>Defective batch month</t>
  </si>
  <si>
    <t>2026-03</t>
  </si>
  <si>
    <t>Gross_to_Net  -  revenue bridge from contract value to net revenue (complete the yellow cells)</t>
  </si>
  <si>
    <t>Product</t>
  </si>
  <si>
    <t>AI_Laptop_14</t>
  </si>
  <si>
    <t>Exceptions  -  every invoice that broke a contract rule, with $ impact and recovery action</t>
  </si>
  <si>
    <t>Shipments  -  all 1,000 invoices (source data)</t>
  </si>
  <si>
    <t>Planned return rate (contract, weighted)</t>
  </si>
  <si>
    <t>Contract_Terms  -  agreed price and limits per retailer and product</t>
  </si>
  <si>
    <t>Colour key</t>
  </si>
  <si>
    <t>Black text  -  formulas already in place</t>
  </si>
  <si>
    <t>Generated by src/03_export_to_excel.py from data/ledgerguard.db</t>
  </si>
  <si>
    <t>March 2026 batch:actual</t>
  </si>
  <si>
    <t>Units shipped</t>
  </si>
  <si>
    <t>Units returned</t>
  </si>
  <si>
    <t>Actual return rate</t>
  </si>
  <si>
    <t>Expected returns at plan rate</t>
  </si>
  <si>
    <t>Excess returns (units)</t>
  </si>
  <si>
    <t>Avg contract price</t>
  </si>
  <si>
    <t xml:space="preserve">Cost of excess returns </t>
  </si>
  <si>
    <t>Scenario: defect continues into Holiday 2026</t>
  </si>
  <si>
    <t>Forecast AI laptop units, Nov-Dec 2026 (= Nov-Dec 2025 actual)</t>
  </si>
  <si>
    <t>Extra returns if the March rate recurred</t>
  </si>
  <si>
    <t>Invoice_ID</t>
  </si>
  <si>
    <t>Invoice_Date</t>
  </si>
  <si>
    <t>Retailer</t>
  </si>
  <si>
    <t>Exception_Type</t>
  </si>
  <si>
    <t>Impact_USD</t>
  </si>
  <si>
    <t>Recoverable</t>
  </si>
  <si>
    <t>Recovery_Action</t>
  </si>
  <si>
    <t>Reason</t>
  </si>
  <si>
    <t>INV-100193</t>
  </si>
  <si>
    <t>Amazon_US</t>
  </si>
  <si>
    <t>PRICE_BELOW_CONTRACT</t>
  </si>
  <si>
    <t>Yes</t>
  </si>
  <si>
    <t>Rebill retailer for the price difference</t>
  </si>
  <si>
    <t>Billed $610.51 vs contract $845.00 (72.2% of contract) on 1146 units</t>
  </si>
  <si>
    <t>INV-100216</t>
  </si>
  <si>
    <t>Billed $610.51 vs contract $845.00 (72.2% of contract) on 1073 units</t>
  </si>
  <si>
    <t>INV-100219</t>
  </si>
  <si>
    <t>Billed $610.51 vs contract $845.00 (72.2% of contract) on 990 units</t>
  </si>
  <si>
    <t>INV-100829</t>
  </si>
  <si>
    <t>BestBuy_US</t>
  </si>
  <si>
    <t>Chromebook_Edu</t>
  </si>
  <si>
    <t>CHARGEBACK_OVER_CAP</t>
  </si>
  <si>
    <t>Dispute deduction; request proof and check shipping log</t>
  </si>
  <si>
    <t>Short_Shipment chargeback of $203964 = 54.3% of gross vs 3.0% cap</t>
  </si>
  <si>
    <t>INV-100875</t>
  </si>
  <si>
    <t>Short_Shipment chargeback of $196883 = 54.3% of gross vs 3.0% cap</t>
  </si>
  <si>
    <t>INV-100441</t>
  </si>
  <si>
    <t>Costco_Wholesale</t>
  </si>
  <si>
    <t>RETURN_SPIKE</t>
  </si>
  <si>
    <t>No</t>
  </si>
  <si>
    <t>Raise with quality team; review returns reserve</t>
  </si>
  <si>
    <t>AI_Laptop_14 returns in 2026-03 ran 8.7% vs 2.1% expected</t>
  </si>
  <si>
    <t>INV-100437</t>
  </si>
  <si>
    <t>INV-100483</t>
  </si>
  <si>
    <t>INV-100429</t>
  </si>
  <si>
    <t>INV-100469</t>
  </si>
  <si>
    <t>INV-100464</t>
  </si>
  <si>
    <t>INV-100431</t>
  </si>
  <si>
    <t>INV-100496</t>
  </si>
  <si>
    <t>INV-100465</t>
  </si>
  <si>
    <t>INV-100480</t>
  </si>
  <si>
    <t>INV-100478</t>
  </si>
  <si>
    <t>INV-100481</t>
  </si>
  <si>
    <t>INV-100436</t>
  </si>
  <si>
    <t>INV-100485</t>
  </si>
  <si>
    <t>INV-100455</t>
  </si>
  <si>
    <t>INV-100456</t>
  </si>
  <si>
    <t>INV-100482</t>
  </si>
  <si>
    <t>INV-100432</t>
  </si>
  <si>
    <t>INV-100452</t>
  </si>
  <si>
    <t>INV-100474</t>
  </si>
  <si>
    <t>INV-100458</t>
  </si>
  <si>
    <t>INV-100468</t>
  </si>
  <si>
    <t>INV-100488</t>
  </si>
  <si>
    <t>SUM of Impact_USD</t>
  </si>
  <si>
    <t>Grand Total</t>
  </si>
  <si>
    <t>INV-100486</t>
  </si>
  <si>
    <t>INV-100467</t>
  </si>
  <si>
    <t>INV-100440</t>
  </si>
  <si>
    <t>INV-100434</t>
  </si>
  <si>
    <t>INV-100462</t>
  </si>
  <si>
    <t>INV-100490</t>
  </si>
  <si>
    <t>INV-100444</t>
  </si>
  <si>
    <t>INV-100448</t>
  </si>
  <si>
    <t>INV-100489</t>
  </si>
  <si>
    <t>INV-100461</t>
  </si>
  <si>
    <t>INV-100457</t>
  </si>
  <si>
    <t>INV-100466</t>
  </si>
  <si>
    <t>Total exposure</t>
  </si>
  <si>
    <t>Units_Shipped</t>
  </si>
  <si>
    <t>Contract_Unit_Price</t>
  </si>
  <si>
    <t>Billed_Unit_Price</t>
  </si>
  <si>
    <t>Gross_Invoice</t>
  </si>
  <si>
    <t>Markdown_Allowance</t>
  </si>
  <si>
    <t>Chargeback</t>
  </si>
  <si>
    <t>Chargeback_Reason</t>
  </si>
  <si>
    <t>Units_Returned</t>
  </si>
  <si>
    <t>Month</t>
  </si>
  <si>
    <t>INV-100001</t>
  </si>
  <si>
    <t>Gaming_Desktop_X</t>
  </si>
  <si>
    <t>Late_Delivery</t>
  </si>
  <si>
    <t>2025-09</t>
  </si>
  <si>
    <t>INV-100002</t>
  </si>
  <si>
    <t>ASN_Mismatch</t>
  </si>
  <si>
    <t>INV-100003</t>
  </si>
  <si>
    <t>Labeling_Error</t>
  </si>
  <si>
    <t>INV-100004</t>
  </si>
  <si>
    <t>No_Chargeback</t>
  </si>
  <si>
    <t>INV-100005</t>
  </si>
  <si>
    <t>INV-100006</t>
  </si>
  <si>
    <t>Max_Markdown_Pct</t>
  </si>
  <si>
    <t>Max_Chargeback_Pct</t>
  </si>
  <si>
    <t>Expected_Return_Rate</t>
  </si>
  <si>
    <t>INV-100007</t>
  </si>
  <si>
    <t>INV-100008</t>
  </si>
  <si>
    <t>INV-100009</t>
  </si>
  <si>
    <t>INV-100010</t>
  </si>
  <si>
    <t>INV-100011</t>
  </si>
  <si>
    <t>INV-100012</t>
  </si>
  <si>
    <t>INV-100013</t>
  </si>
  <si>
    <t>INV-100014</t>
  </si>
  <si>
    <t>INV-100015</t>
  </si>
  <si>
    <t>INV-100016</t>
  </si>
  <si>
    <t>INV-100017</t>
  </si>
  <si>
    <t>Damaged_Packaging</t>
  </si>
  <si>
    <t>INV-100018</t>
  </si>
  <si>
    <t>INV-100019</t>
  </si>
  <si>
    <t>INV-100020</t>
  </si>
  <si>
    <t>INV-100021</t>
  </si>
  <si>
    <t>INV-100022</t>
  </si>
  <si>
    <t>INV-100023</t>
  </si>
  <si>
    <t>INV-100024</t>
  </si>
  <si>
    <t>INV-100025</t>
  </si>
  <si>
    <t>INV-100026</t>
  </si>
  <si>
    <t>INV-100027</t>
  </si>
  <si>
    <t>INV-100028</t>
  </si>
  <si>
    <t>INV-100029</t>
  </si>
  <si>
    <t>INV-100030</t>
  </si>
  <si>
    <t>INV-100031</t>
  </si>
  <si>
    <t>INV-100032</t>
  </si>
  <si>
    <t>INV-100033</t>
  </si>
  <si>
    <t>INV-100034</t>
  </si>
  <si>
    <t>INV-100035</t>
  </si>
  <si>
    <t>INV-100036</t>
  </si>
  <si>
    <t>INV-100037</t>
  </si>
  <si>
    <t>INV-100038</t>
  </si>
  <si>
    <t>INV-100039</t>
  </si>
  <si>
    <t>INV-100040</t>
  </si>
  <si>
    <t>INV-100041</t>
  </si>
  <si>
    <t>INV-100042</t>
  </si>
  <si>
    <t>INV-100043</t>
  </si>
  <si>
    <t>INV-100044</t>
  </si>
  <si>
    <t>INV-100045</t>
  </si>
  <si>
    <t>INV-100046</t>
  </si>
  <si>
    <t>INV-100047</t>
  </si>
  <si>
    <t>INV-100048</t>
  </si>
  <si>
    <t>INV-100049</t>
  </si>
  <si>
    <t>INV-100050</t>
  </si>
  <si>
    <t>INV-100051</t>
  </si>
  <si>
    <t>INV-100052</t>
  </si>
  <si>
    <t>INV-100053</t>
  </si>
  <si>
    <t>INV-100054</t>
  </si>
  <si>
    <t>INV-100055</t>
  </si>
  <si>
    <t>INV-100056</t>
  </si>
  <si>
    <t>INV-100057</t>
  </si>
  <si>
    <t>INV-100058</t>
  </si>
  <si>
    <t>INV-100059</t>
  </si>
  <si>
    <t>INV-100060</t>
  </si>
  <si>
    <t>INV-100061</t>
  </si>
  <si>
    <t>INV-100062</t>
  </si>
  <si>
    <t>INV-100063</t>
  </si>
  <si>
    <t>INV-100064</t>
  </si>
  <si>
    <t>INV-100065</t>
  </si>
  <si>
    <t>INV-100066</t>
  </si>
  <si>
    <t>INV-100067</t>
  </si>
  <si>
    <t>2025-10</t>
  </si>
  <si>
    <t>INV-100068</t>
  </si>
  <si>
    <t>INV-100069</t>
  </si>
  <si>
    <t>INV-100070</t>
  </si>
  <si>
    <t>INV-100071</t>
  </si>
  <si>
    <t>INV-100072</t>
  </si>
  <si>
    <t>INV-100073</t>
  </si>
  <si>
    <t>INV-100074</t>
  </si>
  <si>
    <t>INV-100075</t>
  </si>
  <si>
    <t>INV-100076</t>
  </si>
  <si>
    <t>INV-100077</t>
  </si>
  <si>
    <t>INV-100078</t>
  </si>
  <si>
    <t>INV-100079</t>
  </si>
  <si>
    <t>INV-100080</t>
  </si>
  <si>
    <t>INV-100081</t>
  </si>
  <si>
    <t>INV-100082</t>
  </si>
  <si>
    <t>INV-100083</t>
  </si>
  <si>
    <t>INV-100084</t>
  </si>
  <si>
    <t>INV-100085</t>
  </si>
  <si>
    <t>INV-100086</t>
  </si>
  <si>
    <t>INV-100087</t>
  </si>
  <si>
    <t>INV-100088</t>
  </si>
  <si>
    <t>INV-100089</t>
  </si>
  <si>
    <t>INV-100090</t>
  </si>
  <si>
    <t>INV-100091</t>
  </si>
  <si>
    <t>INV-100092</t>
  </si>
  <si>
    <t>INV-100093</t>
  </si>
  <si>
    <t>INV-100094</t>
  </si>
  <si>
    <t>INV-100095</t>
  </si>
  <si>
    <t>INV-100096</t>
  </si>
  <si>
    <t>INV-100097</t>
  </si>
  <si>
    <t>INV-100098</t>
  </si>
  <si>
    <t>INV-100099</t>
  </si>
  <si>
    <t>INV-100100</t>
  </si>
  <si>
    <t>INV-100101</t>
  </si>
  <si>
    <t>INV-100102</t>
  </si>
  <si>
    <t>INV-100103</t>
  </si>
  <si>
    <t>INV-100104</t>
  </si>
  <si>
    <t>INV-100105</t>
  </si>
  <si>
    <t>INV-100106</t>
  </si>
  <si>
    <t>INV-100107</t>
  </si>
  <si>
    <t>INV-100108</t>
  </si>
  <si>
    <t>INV-100109</t>
  </si>
  <si>
    <t>INV-100110</t>
  </si>
  <si>
    <t>INV-100111</t>
  </si>
  <si>
    <t>INV-100112</t>
  </si>
  <si>
    <t>INV-100113</t>
  </si>
  <si>
    <t>INV-100114</t>
  </si>
  <si>
    <t>INV-100115</t>
  </si>
  <si>
    <t>INV-100116</t>
  </si>
  <si>
    <t>INV-100117</t>
  </si>
  <si>
    <t>INV-100118</t>
  </si>
  <si>
    <t>INV-100119</t>
  </si>
  <si>
    <t>INV-100120</t>
  </si>
  <si>
    <t>INV-100121</t>
  </si>
  <si>
    <t>INV-100122</t>
  </si>
  <si>
    <t>INV-100123</t>
  </si>
  <si>
    <t>INV-100124</t>
  </si>
  <si>
    <t>INV-100125</t>
  </si>
  <si>
    <t>INV-100126</t>
  </si>
  <si>
    <t>INV-100127</t>
  </si>
  <si>
    <t>INV-100128</t>
  </si>
  <si>
    <t>INV-100129</t>
  </si>
  <si>
    <t>INV-100130</t>
  </si>
  <si>
    <t>INV-100131</t>
  </si>
  <si>
    <t>INV-100132</t>
  </si>
  <si>
    <t>2025-11</t>
  </si>
  <si>
    <t>INV-100133</t>
  </si>
  <si>
    <t>INV-100134</t>
  </si>
  <si>
    <t>INV-100135</t>
  </si>
  <si>
    <t>INV-100136</t>
  </si>
  <si>
    <t>INV-100137</t>
  </si>
  <si>
    <t>INV-100138</t>
  </si>
  <si>
    <t>INV-100139</t>
  </si>
  <si>
    <t>INV-100140</t>
  </si>
  <si>
    <t>INV-100141</t>
  </si>
  <si>
    <t>INV-100142</t>
  </si>
  <si>
    <t>INV-100143</t>
  </si>
  <si>
    <t>INV-100144</t>
  </si>
  <si>
    <t>INV-100145</t>
  </si>
  <si>
    <t>INV-100146</t>
  </si>
  <si>
    <t>INV-100147</t>
  </si>
  <si>
    <t>INV-100148</t>
  </si>
  <si>
    <t>INV-100149</t>
  </si>
  <si>
    <t>INV-100150</t>
  </si>
  <si>
    <t>INV-100151</t>
  </si>
  <si>
    <t>INV-100152</t>
  </si>
  <si>
    <t>INV-100153</t>
  </si>
  <si>
    <t>INV-100154</t>
  </si>
  <si>
    <t>INV-100155</t>
  </si>
  <si>
    <t>INV-100156</t>
  </si>
  <si>
    <t>INV-100157</t>
  </si>
  <si>
    <t>INV-100158</t>
  </si>
  <si>
    <t>INV-100159</t>
  </si>
  <si>
    <t>INV-100160</t>
  </si>
  <si>
    <t>INV-100161</t>
  </si>
  <si>
    <t>INV-100162</t>
  </si>
  <si>
    <t>INV-100163</t>
  </si>
  <si>
    <t>INV-100164</t>
  </si>
  <si>
    <t>INV-100165</t>
  </si>
  <si>
    <t>INV-100166</t>
  </si>
  <si>
    <t>INV-100167</t>
  </si>
  <si>
    <t>INV-100168</t>
  </si>
  <si>
    <t>INV-100169</t>
  </si>
  <si>
    <t>INV-100170</t>
  </si>
  <si>
    <t>INV-100171</t>
  </si>
  <si>
    <t>INV-100172</t>
  </si>
  <si>
    <t>INV-100173</t>
  </si>
  <si>
    <t>INV-100174</t>
  </si>
  <si>
    <t>INV-100175</t>
  </si>
  <si>
    <t>INV-100176</t>
  </si>
  <si>
    <t>INV-100177</t>
  </si>
  <si>
    <t>INV-100178</t>
  </si>
  <si>
    <t>INV-100179</t>
  </si>
  <si>
    <t>INV-100180</t>
  </si>
  <si>
    <t>INV-100181</t>
  </si>
  <si>
    <t>INV-100182</t>
  </si>
  <si>
    <t>INV-100183</t>
  </si>
  <si>
    <t>INV-100184</t>
  </si>
  <si>
    <t>INV-100185</t>
  </si>
  <si>
    <t>INV-100186</t>
  </si>
  <si>
    <t>INV-100187</t>
  </si>
  <si>
    <t>INV-100188</t>
  </si>
  <si>
    <t>INV-100189</t>
  </si>
  <si>
    <t>INV-100190</t>
  </si>
  <si>
    <t>INV-100191</t>
  </si>
  <si>
    <t>INV-100192</t>
  </si>
  <si>
    <t>INV-100194</t>
  </si>
  <si>
    <t>INV-100195</t>
  </si>
  <si>
    <t>INV-100196</t>
  </si>
  <si>
    <t>INV-100197</t>
  </si>
  <si>
    <t>INV-100198</t>
  </si>
  <si>
    <t>INV-100199</t>
  </si>
  <si>
    <t>INV-100200</t>
  </si>
  <si>
    <t>INV-100201</t>
  </si>
  <si>
    <t>INV-100202</t>
  </si>
  <si>
    <t>INV-100203</t>
  </si>
  <si>
    <t>INV-100204</t>
  </si>
  <si>
    <t>INV-100205</t>
  </si>
  <si>
    <t>INV-100206</t>
  </si>
  <si>
    <t>INV-100207</t>
  </si>
  <si>
    <t>INV-100208</t>
  </si>
  <si>
    <t>INV-100209</t>
  </si>
  <si>
    <t>INV-100210</t>
  </si>
  <si>
    <t>INV-100211</t>
  </si>
  <si>
    <t>INV-100212</t>
  </si>
  <si>
    <t>INV-100213</t>
  </si>
  <si>
    <t>INV-100214</t>
  </si>
  <si>
    <t>INV-100215</t>
  </si>
  <si>
    <t>INV-100217</t>
  </si>
  <si>
    <t>INV-100218</t>
  </si>
  <si>
    <t>INV-100220</t>
  </si>
  <si>
    <t>INV-100221</t>
  </si>
  <si>
    <t>INV-100222</t>
  </si>
  <si>
    <t>INV-100223</t>
  </si>
  <si>
    <t>INV-100224</t>
  </si>
  <si>
    <t>2025-12</t>
  </si>
  <si>
    <t>INV-100225</t>
  </si>
  <si>
    <t>INV-100226</t>
  </si>
  <si>
    <t>INV-100227</t>
  </si>
  <si>
    <t>INV-100228</t>
  </si>
  <si>
    <t>INV-100229</t>
  </si>
  <si>
    <t>INV-100230</t>
  </si>
  <si>
    <t>INV-100231</t>
  </si>
  <si>
    <t>INV-100232</t>
  </si>
  <si>
    <t>INV-100233</t>
  </si>
  <si>
    <t>INV-100234</t>
  </si>
  <si>
    <t>INV-100235</t>
  </si>
  <si>
    <t>INV-100236</t>
  </si>
  <si>
    <t>INV-100237</t>
  </si>
  <si>
    <t>INV-100238</t>
  </si>
  <si>
    <t>INV-100239</t>
  </si>
  <si>
    <t>INV-100240</t>
  </si>
  <si>
    <t>INV-100241</t>
  </si>
  <si>
    <t>INV-100242</t>
  </si>
  <si>
    <t>INV-100243</t>
  </si>
  <si>
    <t>INV-100244</t>
  </si>
  <si>
    <t>INV-100245</t>
  </si>
  <si>
    <t>INV-100246</t>
  </si>
  <si>
    <t>INV-100247</t>
  </si>
  <si>
    <t>INV-100248</t>
  </si>
  <si>
    <t>INV-100249</t>
  </si>
  <si>
    <t>INV-100250</t>
  </si>
  <si>
    <t>INV-100251</t>
  </si>
  <si>
    <t>INV-100252</t>
  </si>
  <si>
    <t>INV-100253</t>
  </si>
  <si>
    <t>INV-100254</t>
  </si>
  <si>
    <t>INV-100255</t>
  </si>
  <si>
    <t>INV-100256</t>
  </si>
  <si>
    <t>INV-100257</t>
  </si>
  <si>
    <t>INV-100258</t>
  </si>
  <si>
    <t>INV-100259</t>
  </si>
  <si>
    <t>INV-100260</t>
  </si>
  <si>
    <t>INV-100261</t>
  </si>
  <si>
    <t>INV-100262</t>
  </si>
  <si>
    <t>INV-100263</t>
  </si>
  <si>
    <t>INV-100264</t>
  </si>
  <si>
    <t>INV-100265</t>
  </si>
  <si>
    <t>INV-100266</t>
  </si>
  <si>
    <t>INV-100267</t>
  </si>
  <si>
    <t>INV-100268</t>
  </si>
  <si>
    <t>INV-100269</t>
  </si>
  <si>
    <t>INV-100270</t>
  </si>
  <si>
    <t>INV-100271</t>
  </si>
  <si>
    <t>INV-100272</t>
  </si>
  <si>
    <t>INV-100273</t>
  </si>
  <si>
    <t>INV-100274</t>
  </si>
  <si>
    <t>INV-100275</t>
  </si>
  <si>
    <t>INV-100276</t>
  </si>
  <si>
    <t>INV-100277</t>
  </si>
  <si>
    <t>INV-100278</t>
  </si>
  <si>
    <t>INV-100279</t>
  </si>
  <si>
    <t>INV-100280</t>
  </si>
  <si>
    <t>INV-100281</t>
  </si>
  <si>
    <t>INV-100282</t>
  </si>
  <si>
    <t>INV-100283</t>
  </si>
  <si>
    <t>INV-100284</t>
  </si>
  <si>
    <t>INV-100285</t>
  </si>
  <si>
    <t>INV-100286</t>
  </si>
  <si>
    <t>INV-100287</t>
  </si>
  <si>
    <t>INV-100288</t>
  </si>
  <si>
    <t>INV-100289</t>
  </si>
  <si>
    <t>INV-100290</t>
  </si>
  <si>
    <t>INV-100291</t>
  </si>
  <si>
    <t>INV-100292</t>
  </si>
  <si>
    <t>INV-100293</t>
  </si>
  <si>
    <t>INV-100294</t>
  </si>
  <si>
    <t>INV-100295</t>
  </si>
  <si>
    <t>INV-100296</t>
  </si>
  <si>
    <t>INV-100297</t>
  </si>
  <si>
    <t>INV-100298</t>
  </si>
  <si>
    <t>INV-100299</t>
  </si>
  <si>
    <t>INV-100300</t>
  </si>
  <si>
    <t>INV-100301</t>
  </si>
  <si>
    <t>INV-100302</t>
  </si>
  <si>
    <t>INV-100303</t>
  </si>
  <si>
    <t>INV-100304</t>
  </si>
  <si>
    <t>INV-100305</t>
  </si>
  <si>
    <t>INV-100306</t>
  </si>
  <si>
    <t>INV-100307</t>
  </si>
  <si>
    <t>INV-100308</t>
  </si>
  <si>
    <t>INV-100309</t>
  </si>
  <si>
    <t>INV-100310</t>
  </si>
  <si>
    <t>INV-100311</t>
  </si>
  <si>
    <t>INV-100312</t>
  </si>
  <si>
    <t>INV-100313</t>
  </si>
  <si>
    <t>INV-100314</t>
  </si>
  <si>
    <t>INV-100315</t>
  </si>
  <si>
    <t>INV-100316</t>
  </si>
  <si>
    <t>INV-100317</t>
  </si>
  <si>
    <t>INV-100318</t>
  </si>
  <si>
    <t>INV-100319</t>
  </si>
  <si>
    <t>INV-100320</t>
  </si>
  <si>
    <t>INV-100321</t>
  </si>
  <si>
    <t>INV-100322</t>
  </si>
  <si>
    <t>INV-100323</t>
  </si>
  <si>
    <t>INV-100324</t>
  </si>
  <si>
    <t>INV-100325</t>
  </si>
  <si>
    <t>INV-100326</t>
  </si>
  <si>
    <t>INV-100327</t>
  </si>
  <si>
    <t>INV-100328</t>
  </si>
  <si>
    <t>INV-100329</t>
  </si>
  <si>
    <t>INV-100330</t>
  </si>
  <si>
    <t>INV-100331</t>
  </si>
  <si>
    <t>INV-100332</t>
  </si>
  <si>
    <t>INV-100333</t>
  </si>
  <si>
    <t>INV-100334</t>
  </si>
  <si>
    <t>INV-100335</t>
  </si>
  <si>
    <t>INV-100336</t>
  </si>
  <si>
    <t>INV-100337</t>
  </si>
  <si>
    <t>INV-100338</t>
  </si>
  <si>
    <t>INV-100339</t>
  </si>
  <si>
    <t>INV-100340</t>
  </si>
  <si>
    <t>INV-100341</t>
  </si>
  <si>
    <t>INV-100342</t>
  </si>
  <si>
    <t>INV-100343</t>
  </si>
  <si>
    <t>INV-100344</t>
  </si>
  <si>
    <t>INV-100345</t>
  </si>
  <si>
    <t>INV-100346</t>
  </si>
  <si>
    <t>INV-100347</t>
  </si>
  <si>
    <t>INV-100348</t>
  </si>
  <si>
    <t>INV-100349</t>
  </si>
  <si>
    <t>INV-100350</t>
  </si>
  <si>
    <t>INV-100351</t>
  </si>
  <si>
    <t>INV-100352</t>
  </si>
  <si>
    <t>INV-100353</t>
  </si>
  <si>
    <t>INV-100354</t>
  </si>
  <si>
    <t>INV-100355</t>
  </si>
  <si>
    <t>INV-100356</t>
  </si>
  <si>
    <t>INV-100357</t>
  </si>
  <si>
    <t>2026-01</t>
  </si>
  <si>
    <t>INV-100358</t>
  </si>
  <si>
    <t>INV-100359</t>
  </si>
  <si>
    <t>INV-100360</t>
  </si>
  <si>
    <t>INV-100361</t>
  </si>
  <si>
    <t>INV-100362</t>
  </si>
  <si>
    <t>INV-100363</t>
  </si>
  <si>
    <t>INV-100364</t>
  </si>
  <si>
    <t>INV-100365</t>
  </si>
  <si>
    <t>INV-100366</t>
  </si>
  <si>
    <t>INV-100367</t>
  </si>
  <si>
    <t>INV-100368</t>
  </si>
  <si>
    <t>INV-100369</t>
  </si>
  <si>
    <t>INV-100370</t>
  </si>
  <si>
    <t>INV-100371</t>
  </si>
  <si>
    <t>INV-100372</t>
  </si>
  <si>
    <t>INV-100373</t>
  </si>
  <si>
    <t>INV-100374</t>
  </si>
  <si>
    <t>INV-100375</t>
  </si>
  <si>
    <t>INV-100376</t>
  </si>
  <si>
    <t>INV-100377</t>
  </si>
  <si>
    <t>INV-100378</t>
  </si>
  <si>
    <t>INV-100379</t>
  </si>
  <si>
    <t>INV-100380</t>
  </si>
  <si>
    <t>INV-100381</t>
  </si>
  <si>
    <t>INV-100382</t>
  </si>
  <si>
    <t>INV-100383</t>
  </si>
  <si>
    <t>INV-100384</t>
  </si>
  <si>
    <t>INV-100385</t>
  </si>
  <si>
    <t>INV-100386</t>
  </si>
  <si>
    <t>INV-100387</t>
  </si>
  <si>
    <t>INV-100388</t>
  </si>
  <si>
    <t>INV-100389</t>
  </si>
  <si>
    <t>INV-100390</t>
  </si>
  <si>
    <t>2026-02</t>
  </si>
  <si>
    <t>INV-100391</t>
  </si>
  <si>
    <t>INV-100392</t>
  </si>
  <si>
    <t>INV-100393</t>
  </si>
  <si>
    <t>INV-100394</t>
  </si>
  <si>
    <t>INV-100395</t>
  </si>
  <si>
    <t>INV-100396</t>
  </si>
  <si>
    <t>INV-100397</t>
  </si>
  <si>
    <t>INV-100398</t>
  </si>
  <si>
    <t>INV-100399</t>
  </si>
  <si>
    <t>INV-100400</t>
  </si>
  <si>
    <t>INV-100401</t>
  </si>
  <si>
    <t>INV-100402</t>
  </si>
  <si>
    <t>INV-100403</t>
  </si>
  <si>
    <t>INV-100404</t>
  </si>
  <si>
    <t>INV-100405</t>
  </si>
  <si>
    <t>INV-100406</t>
  </si>
  <si>
    <t>INV-100407</t>
  </si>
  <si>
    <t>INV-100408</t>
  </si>
  <si>
    <t>INV-100409</t>
  </si>
  <si>
    <t>INV-100410</t>
  </si>
  <si>
    <t>INV-100411</t>
  </si>
  <si>
    <t>INV-100412</t>
  </si>
  <si>
    <t>INV-100413</t>
  </si>
  <si>
    <t>INV-100414</t>
  </si>
  <si>
    <t>INV-100415</t>
  </si>
  <si>
    <t>INV-100416</t>
  </si>
  <si>
    <t>INV-100417</t>
  </si>
  <si>
    <t>INV-100418</t>
  </si>
  <si>
    <t>INV-100419</t>
  </si>
  <si>
    <t>INV-100420</t>
  </si>
  <si>
    <t>INV-100421</t>
  </si>
  <si>
    <t>INV-100422</t>
  </si>
  <si>
    <t>INV-100423</t>
  </si>
  <si>
    <t>INV-100424</t>
  </si>
  <si>
    <t>INV-100425</t>
  </si>
  <si>
    <t>INV-100426</t>
  </si>
  <si>
    <t>INV-100427</t>
  </si>
  <si>
    <t>INV-100428</t>
  </si>
  <si>
    <t>INV-100430</t>
  </si>
  <si>
    <t>INV-100433</t>
  </si>
  <si>
    <t>INV-100435</t>
  </si>
  <si>
    <t>INV-100438</t>
  </si>
  <si>
    <t>INV-100439</t>
  </si>
  <si>
    <t>INV-100442</t>
  </si>
  <si>
    <t>INV-100443</t>
  </si>
  <si>
    <t>INV-100445</t>
  </si>
  <si>
    <t>INV-100446</t>
  </si>
  <si>
    <t>INV-100447</t>
  </si>
  <si>
    <t>INV-100449</t>
  </si>
  <si>
    <t>INV-100450</t>
  </si>
  <si>
    <t>INV-100451</t>
  </si>
  <si>
    <t>INV-100453</t>
  </si>
  <si>
    <t>INV-100454</t>
  </si>
  <si>
    <t>INV-100459</t>
  </si>
  <si>
    <t>INV-100460</t>
  </si>
  <si>
    <t>INV-100463</t>
  </si>
  <si>
    <t>INV-100470</t>
  </si>
  <si>
    <t>INV-100471</t>
  </si>
  <si>
    <t>INV-100472</t>
  </si>
  <si>
    <t>INV-100473</t>
  </si>
  <si>
    <t>INV-100475</t>
  </si>
  <si>
    <t>INV-100476</t>
  </si>
  <si>
    <t>INV-100477</t>
  </si>
  <si>
    <t>INV-100479</t>
  </si>
  <si>
    <t>INV-100484</t>
  </si>
  <si>
    <t>INV-100487</t>
  </si>
  <si>
    <t>INV-100491</t>
  </si>
  <si>
    <t>INV-100492</t>
  </si>
  <si>
    <t>INV-100493</t>
  </si>
  <si>
    <t>INV-100494</t>
  </si>
  <si>
    <t>INV-100495</t>
  </si>
  <si>
    <t>INV-100497</t>
  </si>
  <si>
    <t>2026-04</t>
  </si>
  <si>
    <t>INV-100498</t>
  </si>
  <si>
    <t>INV-100499</t>
  </si>
  <si>
    <t>INV-100500</t>
  </si>
  <si>
    <t>INV-100501</t>
  </si>
  <si>
    <t>INV-100502</t>
  </si>
  <si>
    <t>INV-100503</t>
  </si>
  <si>
    <t>INV-100504</t>
  </si>
  <si>
    <t>INV-100505</t>
  </si>
  <si>
    <t>INV-100506</t>
  </si>
  <si>
    <t>INV-100507</t>
  </si>
  <si>
    <t>INV-100508</t>
  </si>
  <si>
    <t>INV-100509</t>
  </si>
  <si>
    <t>INV-100510</t>
  </si>
  <si>
    <t>INV-100511</t>
  </si>
  <si>
    <t>INV-100512</t>
  </si>
  <si>
    <t>INV-100513</t>
  </si>
  <si>
    <t>INV-100514</t>
  </si>
  <si>
    <t>INV-100515</t>
  </si>
  <si>
    <t>INV-100516</t>
  </si>
  <si>
    <t>INV-100517</t>
  </si>
  <si>
    <t>INV-100518</t>
  </si>
  <si>
    <t>INV-100519</t>
  </si>
  <si>
    <t>INV-100520</t>
  </si>
  <si>
    <t>INV-100521</t>
  </si>
  <si>
    <t>INV-100522</t>
  </si>
  <si>
    <t>INV-100523</t>
  </si>
  <si>
    <t>INV-100524</t>
  </si>
  <si>
    <t>INV-100525</t>
  </si>
  <si>
    <t>INV-100526</t>
  </si>
  <si>
    <t>INV-100527</t>
  </si>
  <si>
    <t>INV-100528</t>
  </si>
  <si>
    <t>INV-100529</t>
  </si>
  <si>
    <t>INV-100530</t>
  </si>
  <si>
    <t>INV-100531</t>
  </si>
  <si>
    <t>INV-100532</t>
  </si>
  <si>
    <t>INV-100533</t>
  </si>
  <si>
    <t>INV-100534</t>
  </si>
  <si>
    <t>INV-100535</t>
  </si>
  <si>
    <t>INV-100536</t>
  </si>
  <si>
    <t>INV-100537</t>
  </si>
  <si>
    <t>INV-100538</t>
  </si>
  <si>
    <t>INV-100539</t>
  </si>
  <si>
    <t>INV-100540</t>
  </si>
  <si>
    <t>INV-100541</t>
  </si>
  <si>
    <t>INV-100542</t>
  </si>
  <si>
    <t>INV-100543</t>
  </si>
  <si>
    <t>INV-100544</t>
  </si>
  <si>
    <t>INV-100545</t>
  </si>
  <si>
    <t>INV-100546</t>
  </si>
  <si>
    <t>2026-05</t>
  </si>
  <si>
    <t>INV-100547</t>
  </si>
  <si>
    <t>INV-100548</t>
  </si>
  <si>
    <t>INV-100549</t>
  </si>
  <si>
    <t>INV-100550</t>
  </si>
  <si>
    <t>INV-100551</t>
  </si>
  <si>
    <t>INV-100552</t>
  </si>
  <si>
    <t>INV-100553</t>
  </si>
  <si>
    <t>INV-100554</t>
  </si>
  <si>
    <t>INV-100555</t>
  </si>
  <si>
    <t>INV-100556</t>
  </si>
  <si>
    <t>INV-100557</t>
  </si>
  <si>
    <t>INV-100558</t>
  </si>
  <si>
    <t>INV-100559</t>
  </si>
  <si>
    <t>INV-100560</t>
  </si>
  <si>
    <t>INV-100561</t>
  </si>
  <si>
    <t>INV-100562</t>
  </si>
  <si>
    <t>INV-100563</t>
  </si>
  <si>
    <t>INV-100564</t>
  </si>
  <si>
    <t>INV-100565</t>
  </si>
  <si>
    <t>INV-100566</t>
  </si>
  <si>
    <t>INV-100567</t>
  </si>
  <si>
    <t>INV-100568</t>
  </si>
  <si>
    <t>INV-100569</t>
  </si>
  <si>
    <t>INV-100570</t>
  </si>
  <si>
    <t>INV-100571</t>
  </si>
  <si>
    <t>INV-100572</t>
  </si>
  <si>
    <t>INV-100573</t>
  </si>
  <si>
    <t>INV-100574</t>
  </si>
  <si>
    <t>INV-100575</t>
  </si>
  <si>
    <t>INV-100576</t>
  </si>
  <si>
    <t>INV-100577</t>
  </si>
  <si>
    <t>INV-100578</t>
  </si>
  <si>
    <t>INV-100579</t>
  </si>
  <si>
    <t>INV-100580</t>
  </si>
  <si>
    <t>INV-100581</t>
  </si>
  <si>
    <t>INV-100582</t>
  </si>
  <si>
    <t>INV-100583</t>
  </si>
  <si>
    <t>INV-100584</t>
  </si>
  <si>
    <t>INV-100585</t>
  </si>
  <si>
    <t>INV-100586</t>
  </si>
  <si>
    <t>INV-100587</t>
  </si>
  <si>
    <t>INV-100588</t>
  </si>
  <si>
    <t>INV-100589</t>
  </si>
  <si>
    <t>INV-100590</t>
  </si>
  <si>
    <t>INV-100591</t>
  </si>
  <si>
    <t>INV-100592</t>
  </si>
  <si>
    <t>INV-100593</t>
  </si>
  <si>
    <t>INV-100594</t>
  </si>
  <si>
    <t>INV-100595</t>
  </si>
  <si>
    <t>INV-100596</t>
  </si>
  <si>
    <t>INV-100597</t>
  </si>
  <si>
    <t>INV-100598</t>
  </si>
  <si>
    <t>INV-100599</t>
  </si>
  <si>
    <t>INV-100600</t>
  </si>
  <si>
    <t>INV-100601</t>
  </si>
  <si>
    <t>INV-100602</t>
  </si>
  <si>
    <t>INV-100603</t>
  </si>
  <si>
    <t>INV-100604</t>
  </si>
  <si>
    <t>INV-100605</t>
  </si>
  <si>
    <t>INV-100606</t>
  </si>
  <si>
    <t>INV-100607</t>
  </si>
  <si>
    <t>INV-100608</t>
  </si>
  <si>
    <t>INV-100609</t>
  </si>
  <si>
    <t>INV-100610</t>
  </si>
  <si>
    <t>INV-100611</t>
  </si>
  <si>
    <t>INV-100612</t>
  </si>
  <si>
    <t>INV-100613</t>
  </si>
  <si>
    <t>INV-100614</t>
  </si>
  <si>
    <t>INV-100615</t>
  </si>
  <si>
    <t>INV-100616</t>
  </si>
  <si>
    <t>INV-100617</t>
  </si>
  <si>
    <t>2026-06</t>
  </si>
  <si>
    <t>INV-100618</t>
  </si>
  <si>
    <t>INV-100619</t>
  </si>
  <si>
    <t>INV-100620</t>
  </si>
  <si>
    <t>INV-100621</t>
  </si>
  <si>
    <t>INV-100622</t>
  </si>
  <si>
    <t>INV-100623</t>
  </si>
  <si>
    <t>INV-100624</t>
  </si>
  <si>
    <t>INV-100625</t>
  </si>
  <si>
    <t>INV-100626</t>
  </si>
  <si>
    <t>INV-100627</t>
  </si>
  <si>
    <t>INV-100628</t>
  </si>
  <si>
    <t>INV-100629</t>
  </si>
  <si>
    <t>INV-100630</t>
  </si>
  <si>
    <t>INV-100631</t>
  </si>
  <si>
    <t>INV-100632</t>
  </si>
  <si>
    <t>INV-100633</t>
  </si>
  <si>
    <t>INV-100634</t>
  </si>
  <si>
    <t>INV-100635</t>
  </si>
  <si>
    <t>INV-100636</t>
  </si>
  <si>
    <t>INV-100637</t>
  </si>
  <si>
    <t>INV-100638</t>
  </si>
  <si>
    <t>INV-100639</t>
  </si>
  <si>
    <t>INV-100640</t>
  </si>
  <si>
    <t>INV-100641</t>
  </si>
  <si>
    <t>INV-100642</t>
  </si>
  <si>
    <t>INV-100643</t>
  </si>
  <si>
    <t>INV-100644</t>
  </si>
  <si>
    <t>INV-100645</t>
  </si>
  <si>
    <t>INV-100646</t>
  </si>
  <si>
    <t>INV-100647</t>
  </si>
  <si>
    <t>INV-100648</t>
  </si>
  <si>
    <t>INV-100649</t>
  </si>
  <si>
    <t>INV-100650</t>
  </si>
  <si>
    <t>INV-100651</t>
  </si>
  <si>
    <t>INV-100652</t>
  </si>
  <si>
    <t>INV-100653</t>
  </si>
  <si>
    <t>INV-100654</t>
  </si>
  <si>
    <t>INV-100655</t>
  </si>
  <si>
    <t>INV-100656</t>
  </si>
  <si>
    <t>INV-100657</t>
  </si>
  <si>
    <t>INV-100658</t>
  </si>
  <si>
    <t>INV-100659</t>
  </si>
  <si>
    <t>INV-100660</t>
  </si>
  <si>
    <t>INV-100661</t>
  </si>
  <si>
    <t>INV-100662</t>
  </si>
  <si>
    <t>INV-100663</t>
  </si>
  <si>
    <t>INV-100664</t>
  </si>
  <si>
    <t>INV-100665</t>
  </si>
  <si>
    <t>INV-100666</t>
  </si>
  <si>
    <t>INV-100667</t>
  </si>
  <si>
    <t>INV-100668</t>
  </si>
  <si>
    <t>INV-100669</t>
  </si>
  <si>
    <t>INV-100670</t>
  </si>
  <si>
    <t>INV-100671</t>
  </si>
  <si>
    <t>INV-100672</t>
  </si>
  <si>
    <t>INV-100673</t>
  </si>
  <si>
    <t>INV-100674</t>
  </si>
  <si>
    <t>INV-100675</t>
  </si>
  <si>
    <t>INV-100676</t>
  </si>
  <si>
    <t>2026-07</t>
  </si>
  <si>
    <t>INV-100677</t>
  </si>
  <si>
    <t>INV-100678</t>
  </si>
  <si>
    <t>INV-100679</t>
  </si>
  <si>
    <t>INV-100680</t>
  </si>
  <si>
    <t>INV-100681</t>
  </si>
  <si>
    <t>INV-100682</t>
  </si>
  <si>
    <t>INV-100683</t>
  </si>
  <si>
    <t>INV-100684</t>
  </si>
  <si>
    <t>INV-100685</t>
  </si>
  <si>
    <t>INV-100686</t>
  </si>
  <si>
    <t>INV-100687</t>
  </si>
  <si>
    <t>INV-100688</t>
  </si>
  <si>
    <t>INV-100689</t>
  </si>
  <si>
    <t>INV-100690</t>
  </si>
  <si>
    <t>INV-100691</t>
  </si>
  <si>
    <t>INV-100692</t>
  </si>
  <si>
    <t>INV-100693</t>
  </si>
  <si>
    <t>INV-100694</t>
  </si>
  <si>
    <t>INV-100695</t>
  </si>
  <si>
    <t>INV-100696</t>
  </si>
  <si>
    <t>INV-100697</t>
  </si>
  <si>
    <t>INV-100698</t>
  </si>
  <si>
    <t>INV-100699</t>
  </si>
  <si>
    <t>INV-100700</t>
  </si>
  <si>
    <t>INV-100701</t>
  </si>
  <si>
    <t>INV-100702</t>
  </si>
  <si>
    <t>INV-100703</t>
  </si>
  <si>
    <t>INV-100704</t>
  </si>
  <si>
    <t>INV-100705</t>
  </si>
  <si>
    <t>INV-100706</t>
  </si>
  <si>
    <t>INV-100707</t>
  </si>
  <si>
    <t>INV-100708</t>
  </si>
  <si>
    <t>INV-100709</t>
  </si>
  <si>
    <t>INV-100710</t>
  </si>
  <si>
    <t>INV-100711</t>
  </si>
  <si>
    <t>INV-100712</t>
  </si>
  <si>
    <t>INV-100713</t>
  </si>
  <si>
    <t>INV-100714</t>
  </si>
  <si>
    <t>INV-100715</t>
  </si>
  <si>
    <t>INV-100716</t>
  </si>
  <si>
    <t>INV-100717</t>
  </si>
  <si>
    <t>INV-100718</t>
  </si>
  <si>
    <t>INV-100719</t>
  </si>
  <si>
    <t>INV-100720</t>
  </si>
  <si>
    <t>INV-100721</t>
  </si>
  <si>
    <t>INV-100722</t>
  </si>
  <si>
    <t>INV-100723</t>
  </si>
  <si>
    <t>INV-100724</t>
  </si>
  <si>
    <t>INV-100725</t>
  </si>
  <si>
    <t>INV-100726</t>
  </si>
  <si>
    <t>INV-100727</t>
  </si>
  <si>
    <t>INV-100728</t>
  </si>
  <si>
    <t>INV-100729</t>
  </si>
  <si>
    <t>INV-100730</t>
  </si>
  <si>
    <t>INV-100731</t>
  </si>
  <si>
    <t>INV-100732</t>
  </si>
  <si>
    <t>INV-100733</t>
  </si>
  <si>
    <t>INV-100734</t>
  </si>
  <si>
    <t>INV-100735</t>
  </si>
  <si>
    <t>INV-100736</t>
  </si>
  <si>
    <t>INV-100737</t>
  </si>
  <si>
    <t>INV-100738</t>
  </si>
  <si>
    <t>INV-100739</t>
  </si>
  <si>
    <t>INV-100740</t>
  </si>
  <si>
    <t>INV-100741</t>
  </si>
  <si>
    <t>INV-100742</t>
  </si>
  <si>
    <t>INV-100743</t>
  </si>
  <si>
    <t>INV-100744</t>
  </si>
  <si>
    <t>INV-100745</t>
  </si>
  <si>
    <t>INV-100746</t>
  </si>
  <si>
    <t>INV-100747</t>
  </si>
  <si>
    <t>INV-100748</t>
  </si>
  <si>
    <t>INV-100749</t>
  </si>
  <si>
    <t>INV-100750</t>
  </si>
  <si>
    <t>INV-100751</t>
  </si>
  <si>
    <t>INV-100752</t>
  </si>
  <si>
    <t>INV-100753</t>
  </si>
  <si>
    <t>INV-100754</t>
  </si>
  <si>
    <t>INV-100755</t>
  </si>
  <si>
    <t>INV-100756</t>
  </si>
  <si>
    <t>INV-100757</t>
  </si>
  <si>
    <t>INV-100758</t>
  </si>
  <si>
    <t>INV-100759</t>
  </si>
  <si>
    <t>2026-08</t>
  </si>
  <si>
    <t>INV-100760</t>
  </si>
  <si>
    <t>INV-100761</t>
  </si>
  <si>
    <t>INV-100762</t>
  </si>
  <si>
    <t>INV-100763</t>
  </si>
  <si>
    <t>INV-100764</t>
  </si>
  <si>
    <t>INV-100765</t>
  </si>
  <si>
    <t>INV-100766</t>
  </si>
  <si>
    <t>INV-100767</t>
  </si>
  <si>
    <t>INV-100768</t>
  </si>
  <si>
    <t>INV-100769</t>
  </si>
  <si>
    <t>INV-100770</t>
  </si>
  <si>
    <t>INV-100771</t>
  </si>
  <si>
    <t>INV-100772</t>
  </si>
  <si>
    <t>INV-100773</t>
  </si>
  <si>
    <t>INV-100774</t>
  </si>
  <si>
    <t>INV-100775</t>
  </si>
  <si>
    <t>INV-100776</t>
  </si>
  <si>
    <t>INV-100777</t>
  </si>
  <si>
    <t>INV-100778</t>
  </si>
  <si>
    <t>INV-100779</t>
  </si>
  <si>
    <t>INV-100780</t>
  </si>
  <si>
    <t>INV-100781</t>
  </si>
  <si>
    <t>INV-100782</t>
  </si>
  <si>
    <t>INV-100783</t>
  </si>
  <si>
    <t>INV-100784</t>
  </si>
  <si>
    <t>INV-100785</t>
  </si>
  <si>
    <t>INV-100786</t>
  </si>
  <si>
    <t>INV-100787</t>
  </si>
  <si>
    <t>INV-100788</t>
  </si>
  <si>
    <t>INV-100789</t>
  </si>
  <si>
    <t>INV-100790</t>
  </si>
  <si>
    <t>INV-100791</t>
  </si>
  <si>
    <t>INV-100792</t>
  </si>
  <si>
    <t>INV-100793</t>
  </si>
  <si>
    <t>INV-100794</t>
  </si>
  <si>
    <t>INV-100795</t>
  </si>
  <si>
    <t>INV-100796</t>
  </si>
  <si>
    <t>INV-100797</t>
  </si>
  <si>
    <t>INV-100798</t>
  </si>
  <si>
    <t>INV-100799</t>
  </si>
  <si>
    <t>INV-100800</t>
  </si>
  <si>
    <t>INV-100801</t>
  </si>
  <si>
    <t>INV-100802</t>
  </si>
  <si>
    <t>INV-100803</t>
  </si>
  <si>
    <t>INV-100804</t>
  </si>
  <si>
    <t>INV-100805</t>
  </si>
  <si>
    <t>INV-100806</t>
  </si>
  <si>
    <t>INV-100807</t>
  </si>
  <si>
    <t>INV-100808</t>
  </si>
  <si>
    <t>INV-100809</t>
  </si>
  <si>
    <t>INV-100810</t>
  </si>
  <si>
    <t>INV-100811</t>
  </si>
  <si>
    <t>INV-100812</t>
  </si>
  <si>
    <t>INV-100813</t>
  </si>
  <si>
    <t>INV-100814</t>
  </si>
  <si>
    <t>INV-100815</t>
  </si>
  <si>
    <t>INV-100816</t>
  </si>
  <si>
    <t>INV-100817</t>
  </si>
  <si>
    <t>INV-100818</t>
  </si>
  <si>
    <t>INV-100819</t>
  </si>
  <si>
    <t>INV-100820</t>
  </si>
  <si>
    <t>INV-100821</t>
  </si>
  <si>
    <t>INV-100822</t>
  </si>
  <si>
    <t>INV-100823</t>
  </si>
  <si>
    <t>INV-100824</t>
  </si>
  <si>
    <t>INV-100825</t>
  </si>
  <si>
    <t>INV-100826</t>
  </si>
  <si>
    <t>INV-100827</t>
  </si>
  <si>
    <t>INV-100828</t>
  </si>
  <si>
    <t>Short_Shipment</t>
  </si>
  <si>
    <t>INV-100830</t>
  </si>
  <si>
    <t>INV-100831</t>
  </si>
  <si>
    <t>INV-100832</t>
  </si>
  <si>
    <t>INV-100833</t>
  </si>
  <si>
    <t>INV-100834</t>
  </si>
  <si>
    <t>INV-100835</t>
  </si>
  <si>
    <t>INV-100836</t>
  </si>
  <si>
    <t>INV-100837</t>
  </si>
  <si>
    <t>INV-100838</t>
  </si>
  <si>
    <t>INV-100839</t>
  </si>
  <si>
    <t>INV-100840</t>
  </si>
  <si>
    <t>INV-100841</t>
  </si>
  <si>
    <t>INV-100842</t>
  </si>
  <si>
    <t>INV-100843</t>
  </si>
  <si>
    <t>INV-100844</t>
  </si>
  <si>
    <t>INV-100845</t>
  </si>
  <si>
    <t>INV-100846</t>
  </si>
  <si>
    <t>INV-100847</t>
  </si>
  <si>
    <t>INV-100848</t>
  </si>
  <si>
    <t>INV-100849</t>
  </si>
  <si>
    <t>INV-100850</t>
  </si>
  <si>
    <t>INV-100851</t>
  </si>
  <si>
    <t>INV-100852</t>
  </si>
  <si>
    <t>INV-100853</t>
  </si>
  <si>
    <t>INV-100854</t>
  </si>
  <si>
    <t>INV-100855</t>
  </si>
  <si>
    <t>INV-100856</t>
  </si>
  <si>
    <t>INV-100857</t>
  </si>
  <si>
    <t>INV-100858</t>
  </si>
  <si>
    <t>INV-100859</t>
  </si>
  <si>
    <t>INV-100860</t>
  </si>
  <si>
    <t>INV-100861</t>
  </si>
  <si>
    <t>INV-100862</t>
  </si>
  <si>
    <t>INV-100863</t>
  </si>
  <si>
    <t>INV-100864</t>
  </si>
  <si>
    <t>INV-100865</t>
  </si>
  <si>
    <t>INV-100866</t>
  </si>
  <si>
    <t>INV-100867</t>
  </si>
  <si>
    <t>INV-100868</t>
  </si>
  <si>
    <t>INV-100869</t>
  </si>
  <si>
    <t>INV-100870</t>
  </si>
  <si>
    <t>INV-100871</t>
  </si>
  <si>
    <t>INV-100872</t>
  </si>
  <si>
    <t>INV-100873</t>
  </si>
  <si>
    <t>INV-100874</t>
  </si>
  <si>
    <t>INV-100876</t>
  </si>
  <si>
    <t>INV-100877</t>
  </si>
  <si>
    <t>INV-100878</t>
  </si>
  <si>
    <t>INV-100879</t>
  </si>
  <si>
    <t>INV-100880</t>
  </si>
  <si>
    <t>INV-100881</t>
  </si>
  <si>
    <t>INV-100882</t>
  </si>
  <si>
    <t>INV-100883</t>
  </si>
  <si>
    <t>INV-100884</t>
  </si>
  <si>
    <t>INV-100885</t>
  </si>
  <si>
    <t>2026-09</t>
  </si>
  <si>
    <t>INV-100886</t>
  </si>
  <si>
    <t>INV-100887</t>
  </si>
  <si>
    <t>INV-100888</t>
  </si>
  <si>
    <t>INV-100889</t>
  </si>
  <si>
    <t>INV-100890</t>
  </si>
  <si>
    <t>INV-100891</t>
  </si>
  <si>
    <t>INV-100892</t>
  </si>
  <si>
    <t>INV-100893</t>
  </si>
  <si>
    <t>INV-100894</t>
  </si>
  <si>
    <t>INV-100895</t>
  </si>
  <si>
    <t>INV-100896</t>
  </si>
  <si>
    <t>INV-100897</t>
  </si>
  <si>
    <t>INV-100898</t>
  </si>
  <si>
    <t>INV-100899</t>
  </si>
  <si>
    <t>INV-100900</t>
  </si>
  <si>
    <t>INV-100901</t>
  </si>
  <si>
    <t>INV-100902</t>
  </si>
  <si>
    <t>INV-100903</t>
  </si>
  <si>
    <t>INV-100904</t>
  </si>
  <si>
    <t>INV-100905</t>
  </si>
  <si>
    <t>INV-100906</t>
  </si>
  <si>
    <t>INV-100907</t>
  </si>
  <si>
    <t>INV-100908</t>
  </si>
  <si>
    <t>INV-100909</t>
  </si>
  <si>
    <t>INV-100910</t>
  </si>
  <si>
    <t>INV-100911</t>
  </si>
  <si>
    <t>INV-100912</t>
  </si>
  <si>
    <t>INV-100913</t>
  </si>
  <si>
    <t>INV-100914</t>
  </si>
  <si>
    <t>INV-100915</t>
  </si>
  <si>
    <t>INV-100916</t>
  </si>
  <si>
    <t>INV-100917</t>
  </si>
  <si>
    <t>INV-100918</t>
  </si>
  <si>
    <t>INV-100919</t>
  </si>
  <si>
    <t>INV-100920</t>
  </si>
  <si>
    <t>INV-100921</t>
  </si>
  <si>
    <t>INV-100922</t>
  </si>
  <si>
    <t>INV-100923</t>
  </si>
  <si>
    <t>INV-100924</t>
  </si>
  <si>
    <t>INV-100925</t>
  </si>
  <si>
    <t>INV-100926</t>
  </si>
  <si>
    <t>INV-100927</t>
  </si>
  <si>
    <t>INV-100928</t>
  </si>
  <si>
    <t>INV-100929</t>
  </si>
  <si>
    <t>INV-100930</t>
  </si>
  <si>
    <t>INV-100931</t>
  </si>
  <si>
    <t>INV-100932</t>
  </si>
  <si>
    <t>INV-100933</t>
  </si>
  <si>
    <t>INV-100934</t>
  </si>
  <si>
    <t>INV-100935</t>
  </si>
  <si>
    <t>INV-100936</t>
  </si>
  <si>
    <t>INV-100937</t>
  </si>
  <si>
    <t>INV-100938</t>
  </si>
  <si>
    <t>INV-100939</t>
  </si>
  <si>
    <t>INV-100940</t>
  </si>
  <si>
    <t>INV-100941</t>
  </si>
  <si>
    <t>INV-100942</t>
  </si>
  <si>
    <t>INV-100943</t>
  </si>
  <si>
    <t>INV-100944</t>
  </si>
  <si>
    <t>INV-100945</t>
  </si>
  <si>
    <t>INV-100946</t>
  </si>
  <si>
    <t>INV-100947</t>
  </si>
  <si>
    <t>INV-100948</t>
  </si>
  <si>
    <t>INV-100949</t>
  </si>
  <si>
    <t>INV-100950</t>
  </si>
  <si>
    <t>INV-100951</t>
  </si>
  <si>
    <t>INV-100952</t>
  </si>
  <si>
    <t>INV-100953</t>
  </si>
  <si>
    <t>INV-100954</t>
  </si>
  <si>
    <t>INV-100955</t>
  </si>
  <si>
    <t>INV-100956</t>
  </si>
  <si>
    <t>INV-100957</t>
  </si>
  <si>
    <t>INV-100958</t>
  </si>
  <si>
    <t>INV-100959</t>
  </si>
  <si>
    <t>INV-100960</t>
  </si>
  <si>
    <t>INV-100961</t>
  </si>
  <si>
    <t>INV-100962</t>
  </si>
  <si>
    <t>INV-100963</t>
  </si>
  <si>
    <t>INV-100964</t>
  </si>
  <si>
    <t>INV-100965</t>
  </si>
  <si>
    <t>2026-10</t>
  </si>
  <si>
    <t>INV-100966</t>
  </si>
  <si>
    <t>INV-100967</t>
  </si>
  <si>
    <t>INV-100968</t>
  </si>
  <si>
    <t>INV-100969</t>
  </si>
  <si>
    <t>INV-100970</t>
  </si>
  <si>
    <t>INV-100971</t>
  </si>
  <si>
    <t>INV-100972</t>
  </si>
  <si>
    <t>INV-100973</t>
  </si>
  <si>
    <t>INV-100974</t>
  </si>
  <si>
    <t>INV-100975</t>
  </si>
  <si>
    <t>INV-100976</t>
  </si>
  <si>
    <t>INV-100977</t>
  </si>
  <si>
    <t>INV-100978</t>
  </si>
  <si>
    <t>INV-100979</t>
  </si>
  <si>
    <t>INV-100980</t>
  </si>
  <si>
    <t>INV-100981</t>
  </si>
  <si>
    <t>INV-100982</t>
  </si>
  <si>
    <t>INV-100983</t>
  </si>
  <si>
    <t>INV-100984</t>
  </si>
  <si>
    <t>INV-100985</t>
  </si>
  <si>
    <t>INV-100986</t>
  </si>
  <si>
    <t>INV-100987</t>
  </si>
  <si>
    <t>INV-100988</t>
  </si>
  <si>
    <t>INV-100989</t>
  </si>
  <si>
    <t>INV-100990</t>
  </si>
  <si>
    <t>INV-100991</t>
  </si>
  <si>
    <t>INV-100992</t>
  </si>
  <si>
    <t>INV-100993</t>
  </si>
  <si>
    <t>INV-100994</t>
  </si>
  <si>
    <t>INV-100995</t>
  </si>
  <si>
    <t>INV-100996</t>
  </si>
  <si>
    <t>INV-100997</t>
  </si>
  <si>
    <t>INV-100998</t>
  </si>
  <si>
    <t>INV-100999</t>
  </si>
  <si>
    <t>INV-101000</t>
  </si>
  <si>
    <t>CFO Exception Desk: Revenue Leakage Review</t>
  </si>
  <si>
    <t>Simulated data | Sep 2025 – Oct 15, 2026 | USD</t>
  </si>
  <si>
    <t>Recoverable (up to)</t>
  </si>
  <si>
    <t>Not recoverable</t>
  </si>
  <si>
    <t>% of gross billed</t>
  </si>
  <si>
    <t xml:space="preserve">Holiday risk if defect returns </t>
  </si>
  <si>
    <t>Gross-to-Net Revenue Bridge</t>
  </si>
  <si>
    <t>Sep 2025 - Oct 15, 2026  |  All retailers  |  USD  |  Deductions entered as negative numbers</t>
  </si>
  <si>
    <t>Line item</t>
  </si>
  <si>
    <t>Amount ($)</t>
  </si>
  <si>
    <t>% of contract value</t>
  </si>
  <si>
    <t>Waterfall data</t>
  </si>
  <si>
    <t>Gross invoiced at contract price</t>
  </si>
  <si>
    <t>Top 5 exceptions by impact</t>
  </si>
  <si>
    <t>Gross at contract</t>
  </si>
  <si>
    <t>Less: pricing errors (billed below contract)</t>
  </si>
  <si>
    <t>Pricing errors</t>
  </si>
  <si>
    <t>Gross invoiced (as billed)</t>
  </si>
  <si>
    <t>Markdowns</t>
  </si>
  <si>
    <t>Less: markdown allowances</t>
  </si>
  <si>
    <t>Routine chargebacks</t>
  </si>
  <si>
    <t>Less: chargebacks - routine</t>
  </si>
  <si>
    <t>Disputed chargebacks</t>
  </si>
  <si>
    <t>Less: chargebacks - disputed</t>
  </si>
  <si>
    <t xml:space="preserve">Returns credits </t>
  </si>
  <si>
    <t>Less: returns credits</t>
  </si>
  <si>
    <t>Net revenue</t>
  </si>
  <si>
    <t>Check: net revenue calculated directly from Shipments</t>
  </si>
  <si>
    <t>Difference (should be $0)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</si>
</sst>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m-dd"/>
    <numFmt numFmtId="165" formatCode="$#,##0.00;($#,##0.00);&quot;-&quot;"/>
    <numFmt numFmtId="166" formatCode="&quot;$&quot;#,##0.00"/>
    <numFmt numFmtId="167" formatCode="&quot;$&quot;#,##0"/>
    <numFmt numFmtId="168" formatCode="$#,##0;($#,##0);&quot;-&quot;"/>
    <numFmt numFmtId="169" formatCode="0.0%"/>
    <numFmt numFmtId="170" formatCode="0.0%;(0.0%);&quot;-&quot;"/>
    <numFmt numFmtId="171" formatCode="$#,##0.0,,&quot;M&quot;;($#,##0.0,,&quot;M&quot;)"/>
  </numFmts>
  <fonts count="29">
    <font>
      <sz val="11.0"/>
      <color theme="1"/>
      <name val="Calibri"/>
      <scheme val="minor"/>
    </font>
    <font>
      <b/>
      <sz val="14.0"/>
      <color rgb="FF1F3864"/>
      <name val="Arial"/>
    </font>
    <font>
      <sz val="10.0"/>
      <color theme="1"/>
      <name val="Arial"/>
    </font>
    <font>
      <b/>
      <sz val="16.0"/>
      <color rgb="FF1F3864"/>
      <name val="Arial"/>
    </font>
    <font>
      <color theme="1"/>
      <name val="Arial"/>
    </font>
    <font>
      <sz val="11.0"/>
      <color theme="1"/>
      <name val="Arial"/>
    </font>
    <font>
      <b/>
      <sz val="10.0"/>
      <color theme="0"/>
      <name val="Arial"/>
    </font>
    <font>
      <b/>
      <sz val="11.0"/>
      <color theme="1"/>
      <name val="Arial"/>
    </font>
    <font>
      <sz val="10.0"/>
      <color rgb="FF1F3864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Calibri"/>
      <scheme val="minor"/>
    </font>
    <font>
      <b/>
      <color theme="1"/>
      <name val="Arial"/>
    </font>
    <font>
      <b/>
      <sz val="18.0"/>
      <color rgb="FF1F3864"/>
      <name val="-webkit-standard"/>
    </font>
    <font>
      <i/>
      <sz val="10.0"/>
      <color rgb="FFB7B7B7"/>
      <name val="-webkit-standard"/>
    </font>
    <font>
      <sz val="10.0"/>
      <color rgb="FFB7B7B7"/>
      <name val="Calibri"/>
    </font>
    <font>
      <i/>
      <sz val="10.0"/>
      <color theme="1"/>
      <name val="Arial"/>
    </font>
    <font>
      <b/>
      <sz val="18.0"/>
      <color rgb="FF980000"/>
      <name val="-webkit-standard"/>
    </font>
    <font>
      <color theme="1"/>
      <name val="Calibri"/>
    </font>
    <font>
      <b/>
      <sz val="18.0"/>
      <color theme="1"/>
      <name val="Calibri"/>
    </font>
    <font>
      <b/>
      <sz val="10.0"/>
      <color rgb="FF000000"/>
      <name val="Arial"/>
    </font>
    <font>
      <b/>
      <sz val="18.0"/>
      <color rgb="FF6AA84F"/>
      <name val="-webkit-standard"/>
    </font>
    <font>
      <b/>
      <sz val="18.0"/>
      <color rgb="FFB45F06"/>
      <name val="Calibri"/>
    </font>
    <font>
      <b/>
      <sz val="18.0"/>
      <color rgb="FF000000"/>
      <name val="-webkit-standard"/>
    </font>
    <font>
      <b/>
      <sz val="18.0"/>
      <color rgb="FF7F6000"/>
      <name val="-webkit-standard"/>
    </font>
    <font>
      <i/>
      <sz val="10.0"/>
      <color rgb="FF595959"/>
      <name val="Arial"/>
    </font>
    <font>
      <b/>
      <color rgb="FFFFFFFF"/>
      <name val="Calibri"/>
    </font>
    <font>
      <i/>
      <sz val="10.0"/>
      <color rgb="FF1F3864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D9E1F2"/>
        <bgColor rgb="FFD9E1F2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4">
    <border/>
    <border>
      <left/>
      <right/>
      <top/>
      <bottom/>
    </border>
    <border>
      <left/>
      <top/>
      <bottom/>
    </border>
    <border>
      <bottom style="thin">
        <color rgb="FF80808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2" fontId="6" numFmtId="0" xfId="0" applyFill="1" applyFont="1"/>
    <xf borderId="0" fillId="0" fontId="7" numFmtId="0" xfId="0" applyFont="1"/>
    <xf quotePrefix="1" borderId="0" fillId="0" fontId="8" numFmtId="0" xfId="0" applyAlignment="1" applyFont="1">
      <alignment horizontal="right"/>
    </xf>
    <xf borderId="0" fillId="0" fontId="8" numFmtId="0" xfId="0" applyAlignment="1" applyFont="1">
      <alignment horizontal="right"/>
    </xf>
    <xf borderId="0" fillId="0" fontId="8" numFmtId="10" xfId="0" applyFont="1" applyNumberFormat="1"/>
    <xf borderId="0" fillId="0" fontId="2" numFmtId="0" xfId="0" applyAlignment="1" applyFont="1">
      <alignment horizontal="right"/>
    </xf>
    <xf borderId="0" fillId="2" fontId="9" numFmtId="0" xfId="0" applyFill="1" applyFont="1"/>
    <xf borderId="0" fillId="0" fontId="2" numFmtId="1" xfId="0" applyAlignment="1" applyFont="1" applyNumberFormat="1">
      <alignment horizontal="right"/>
    </xf>
    <xf borderId="0" fillId="0" fontId="10" numFmtId="1" xfId="0" applyAlignment="1" applyFont="1" applyNumberFormat="1">
      <alignment horizontal="right"/>
    </xf>
    <xf borderId="0" fillId="0" fontId="2" numFmtId="10" xfId="0" applyAlignment="1" applyFont="1" applyNumberFormat="1">
      <alignment horizontal="right"/>
    </xf>
    <xf borderId="0" fillId="0" fontId="10" numFmtId="0" xfId="0" applyFont="1"/>
    <xf borderId="0" fillId="0" fontId="2" numFmtId="166" xfId="0" applyAlignment="1" applyFont="1" applyNumberFormat="1">
      <alignment horizontal="right"/>
    </xf>
    <xf borderId="0" fillId="0" fontId="2" numFmtId="167" xfId="0" applyAlignment="1" applyFont="1" applyNumberFormat="1">
      <alignment horizontal="right"/>
    </xf>
    <xf borderId="0" fillId="0" fontId="10" numFmtId="0" xfId="0" applyAlignment="1" applyFont="1">
      <alignment readingOrder="0"/>
    </xf>
    <xf borderId="0" fillId="0" fontId="10" numFmtId="3" xfId="0" applyAlignment="1" applyFont="1" applyNumberFormat="1">
      <alignment horizontal="right"/>
    </xf>
    <xf borderId="1" fillId="2" fontId="1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12" numFmtId="0" xfId="0" applyFont="1"/>
    <xf borderId="0" fillId="0" fontId="12" numFmtId="165" xfId="0" applyFont="1" applyNumberFormat="1"/>
    <xf borderId="0" fillId="0" fontId="13" numFmtId="0" xfId="0" applyFont="1"/>
    <xf borderId="0" fillId="0" fontId="13" numFmtId="168" xfId="0" applyFont="1" applyNumberFormat="1"/>
    <xf borderId="0" fillId="0" fontId="2" numFmtId="3" xfId="0" applyAlignment="1" applyFont="1" applyNumberFormat="1">
      <alignment shrinkToFit="0" vertical="center" wrapText="0"/>
    </xf>
    <xf borderId="0" fillId="0" fontId="2" numFmtId="169" xfId="0" applyAlignment="1" applyFont="1" applyNumberFormat="1">
      <alignment shrinkToFit="0" vertical="center" wrapText="0"/>
    </xf>
    <xf borderId="0" fillId="0" fontId="14" numFmtId="0" xfId="0" applyFont="1"/>
    <xf borderId="0" fillId="0" fontId="15" numFmtId="0" xfId="0" applyFont="1"/>
    <xf borderId="0" fillId="3" fontId="16" numFmtId="0" xfId="0" applyFill="1" applyFont="1"/>
    <xf borderId="0" fillId="0" fontId="16" numFmtId="0" xfId="0" applyFont="1"/>
    <xf borderId="0" fillId="3" fontId="16" numFmtId="0" xfId="0" applyAlignment="1" applyFill="1" applyFont="1">
      <alignment readingOrder="0"/>
    </xf>
    <xf borderId="0" fillId="4" fontId="16" numFmtId="0" xfId="0" applyFill="1" applyFont="1"/>
    <xf borderId="0" fillId="0" fontId="17" numFmtId="0" xfId="0" applyFont="1"/>
    <xf borderId="1" fillId="2" fontId="11" numFmtId="0" xfId="0" applyBorder="1" applyFill="1" applyFont="1"/>
    <xf borderId="2" fillId="2" fontId="11" numFmtId="0" xfId="0" applyBorder="1" applyFill="1" applyFont="1"/>
    <xf borderId="0" fillId="0" fontId="11" numFmtId="0" xfId="0" applyFont="1"/>
    <xf borderId="0" fillId="0" fontId="19" numFmtId="0" xfId="0" applyFont="1"/>
    <xf borderId="0" fillId="5" fontId="18" numFmtId="168" xfId="0" applyFill="1" applyFont="1" applyNumberFormat="1"/>
    <xf borderId="0" fillId="0" fontId="20" numFmtId="0" xfId="0" applyFont="1"/>
    <xf borderId="3" fillId="6" fontId="21" numFmtId="0" xfId="0" applyBorder="1" applyFill="1" applyFont="1"/>
    <xf borderId="0" fillId="7" fontId="22" numFmtId="167" xfId="0" applyFill="1" applyFont="1" applyNumberFormat="1"/>
    <xf borderId="0" fillId="8" fontId="23" numFmtId="167" xfId="0" applyFill="1" applyFont="1" applyNumberFormat="1"/>
    <xf borderId="3" fillId="6" fontId="21" numFmtId="168" xfId="0" applyBorder="1" applyFill="1" applyFont="1" applyNumberFormat="1"/>
    <xf borderId="0" fillId="4" fontId="24" numFmtId="10" xfId="0" applyFill="1" applyFont="1" applyNumberFormat="1"/>
    <xf borderId="0" fillId="9" fontId="25" numFmtId="167" xfId="0" applyFill="1" applyFont="1" applyNumberFormat="1"/>
    <xf borderId="3" fillId="6" fontId="21" numFmtId="170" xfId="0" applyBorder="1" applyFill="1" applyFont="1" applyNumberFormat="1"/>
    <xf borderId="0" fillId="0" fontId="26" numFmtId="0" xfId="0" applyFont="1"/>
    <xf borderId="0" fillId="0" fontId="19" numFmtId="0" xfId="0" applyAlignment="1" applyFont="1">
      <alignment readingOrder="0"/>
    </xf>
    <xf borderId="0" fillId="0" fontId="19" numFmtId="171" xfId="0" applyFont="1" applyNumberFormat="1"/>
    <xf borderId="0" fillId="2" fontId="27" numFmtId="0" xfId="0" applyFill="1" applyFont="1"/>
    <xf borderId="3" fillId="0" fontId="10" numFmtId="0" xfId="0" applyBorder="1" applyFont="1"/>
    <xf borderId="3" fillId="0" fontId="10" numFmtId="168" xfId="0" applyBorder="1" applyFont="1" applyNumberFormat="1"/>
    <xf borderId="0" fillId="0" fontId="19" numFmtId="164" xfId="0" applyFont="1" applyNumberFormat="1"/>
    <xf borderId="3" fillId="0" fontId="10" numFmtId="170" xfId="0" applyBorder="1" applyFont="1" applyNumberFormat="1"/>
    <xf borderId="0" fillId="0" fontId="19" numFmtId="165" xfId="0" applyFont="1" applyNumberFormat="1"/>
    <xf borderId="3" fillId="0" fontId="21" numFmtId="168" xfId="0" applyBorder="1" applyFont="1" applyNumberFormat="1"/>
    <xf borderId="0" fillId="0" fontId="10" numFmtId="168" xfId="0" applyFont="1" applyNumberFormat="1"/>
    <xf borderId="0" fillId="0" fontId="2" numFmtId="168" xfId="0" applyFont="1" applyNumberFormat="1"/>
    <xf borderId="0" fillId="0" fontId="2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3">
    <tableStyle count="4" pivot="0" name="Exceptions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Shipments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Contract_Terms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Exposure by retailer and type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Pivot_Exceptions!$B$2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Pivot_Exceptions!$A$3:$A$5</c:f>
            </c:strRef>
          </c:cat>
          <c:val>
            <c:numRef>
              <c:f>Pivot_Exceptions!$B$3:$B$5</c:f>
              <c:numCache/>
            </c:numRef>
          </c:val>
        </c:ser>
        <c:ser>
          <c:idx val="1"/>
          <c:order val="1"/>
          <c:tx>
            <c:strRef>
              <c:f>Pivot_Exceptions!$C$2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Pivot_Exceptions!$A$3:$A$5</c:f>
            </c:strRef>
          </c:cat>
          <c:val>
            <c:numRef>
              <c:f>Pivot_Exceptions!$C$3:$C$5</c:f>
              <c:numCache/>
            </c:numRef>
          </c:val>
        </c:ser>
        <c:ser>
          <c:idx val="2"/>
          <c:order val="2"/>
          <c:tx>
            <c:strRef>
              <c:f>Pivot_Exceptions!$D$2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Pivot_Exceptions!$A$3:$A$5</c:f>
            </c:strRef>
          </c:cat>
          <c:val>
            <c:numRef>
              <c:f>Pivot_Exceptions!$D$3:$D$5</c:f>
              <c:numCache/>
            </c:numRef>
          </c:val>
        </c:ser>
        <c:overlap val="100"/>
        <c:axId val="1236981208"/>
        <c:axId val="1630653154"/>
      </c:barChart>
      <c:catAx>
        <c:axId val="1236981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30653154"/>
      </c:catAx>
      <c:valAx>
        <c:axId val="16306531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$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3698120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Pivot_Exceptions!$B$2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Pivot_Exceptions!$A$3:$A$5</c:f>
            </c:strRef>
          </c:cat>
          <c:val>
            <c:numRef>
              <c:f>Pivot_Exceptions!$B$3:$B$5</c:f>
              <c:numCache/>
            </c:numRef>
          </c:val>
        </c:ser>
        <c:ser>
          <c:idx val="1"/>
          <c:order val="1"/>
          <c:tx>
            <c:strRef>
              <c:f>Pivot_Exceptions!$C$2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Pivot_Exceptions!$A$3:$A$5</c:f>
            </c:strRef>
          </c:cat>
          <c:val>
            <c:numRef>
              <c:f>Pivot_Exceptions!$C$3:$C$5</c:f>
              <c:numCache/>
            </c:numRef>
          </c:val>
        </c:ser>
        <c:ser>
          <c:idx val="2"/>
          <c:order val="2"/>
          <c:tx>
            <c:strRef>
              <c:f>Pivot_Exceptions!$D$2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Pivot_Exceptions!$A$3:$A$5</c:f>
            </c:strRef>
          </c:cat>
          <c:val>
            <c:numRef>
              <c:f>Pivot_Exceptions!$D$3:$D$5</c:f>
              <c:numCache/>
            </c:numRef>
          </c:val>
        </c:ser>
        <c:overlap val="100"/>
        <c:axId val="1868632868"/>
        <c:axId val="124112683"/>
      </c:barChart>
      <c:catAx>
        <c:axId val="1868632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4112683"/>
      </c:catAx>
      <c:valAx>
        <c:axId val="124112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6863286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4533900</xdr:colOff>
      <xdr:row>13</xdr:row>
      <xdr:rowOff>47625</xdr:rowOff>
    </xdr:from>
    <xdr:ext cx="5715000" cy="3533775"/>
    <xdr:pic>
      <xdr:nvPicPr>
        <xdr:cNvPr id="96789706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1104900</xdr:colOff>
      <xdr:row>15</xdr:row>
      <xdr:rowOff>47625</xdr:rowOff>
    </xdr:from>
    <xdr:ext cx="58102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15</xdr:row>
      <xdr:rowOff>47625</xdr:rowOff>
    </xdr:from>
    <xdr:ext cx="5715000" cy="3533775"/>
    <xdr:pic>
      <xdr:nvPicPr>
        <xdr:cNvPr id="597190663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41" sheet="Exceptions"/>
  </cacheSource>
  <cacheFields>
    <cacheField name="Invoice_ID" numFmtId="0">
      <sharedItems>
        <s v="INV-100193"/>
        <s v="INV-100216"/>
        <s v="INV-100219"/>
        <s v="INV-100829"/>
        <s v="INV-100875"/>
        <s v="INV-100441"/>
        <s v="INV-100437"/>
        <s v="INV-100483"/>
        <s v="INV-100429"/>
        <s v="INV-100469"/>
        <s v="INV-100464"/>
        <s v="INV-100431"/>
        <s v="INV-100496"/>
        <s v="INV-100465"/>
        <s v="INV-100480"/>
        <s v="INV-100478"/>
        <s v="INV-100481"/>
        <s v="INV-100436"/>
        <s v="INV-100485"/>
        <s v="INV-100455"/>
        <s v="INV-100456"/>
        <s v="INV-100482"/>
        <s v="INV-100432"/>
        <s v="INV-100452"/>
        <s v="INV-100474"/>
        <s v="INV-100458"/>
        <s v="INV-100468"/>
        <s v="INV-100488"/>
        <s v="INV-100486"/>
        <s v="INV-100467"/>
        <s v="INV-100440"/>
        <s v="INV-100434"/>
        <s v="INV-100462"/>
        <s v="INV-100490"/>
        <s v="INV-100444"/>
        <s v="INV-100448"/>
        <s v="INV-100489"/>
        <s v="INV-100461"/>
        <s v="INV-100457"/>
        <s v="INV-100466"/>
      </sharedItems>
    </cacheField>
    <cacheField name="Invoice_Date" numFmtId="164">
      <sharedItems containsSemiMixedTypes="0" containsDate="1" containsString="0">
        <d v="2025-11-24T00:00:00Z"/>
        <d v="2025-11-30T00:00:00Z"/>
        <d v="2026-08-17T00:00:00Z"/>
        <d v="2026-08-29T00:00:00Z"/>
        <d v="2026-03-06T00:00:00Z"/>
        <d v="2026-03-05T00:00:00Z"/>
        <d v="2026-03-26T00:00:00Z"/>
        <d v="2026-03-02T00:00:00Z"/>
        <d v="2026-03-20T00:00:00Z"/>
        <d v="2026-03-19T00:00:00Z"/>
        <d v="2026-03-03T00:00:00Z"/>
        <d v="2026-03-31T00:00:00Z"/>
        <d v="2026-03-24T00:00:00Z"/>
        <d v="2026-03-23T00:00:00Z"/>
        <d v="2026-03-25T00:00:00Z"/>
        <d v="2026-03-27T00:00:00Z"/>
        <d v="2026-03-14T00:00:00Z"/>
        <d v="2026-03-13T00:00:00Z"/>
        <d v="2026-03-21T00:00:00Z"/>
        <d v="2026-03-16T00:00:00Z"/>
        <d v="2026-03-04T00:00:00Z"/>
        <d v="2026-03-17T00:00:00Z"/>
        <d v="2026-03-29T00:00:00Z"/>
        <d v="2026-03-08T00:00:00Z"/>
        <d v="2026-03-11T00:00:00Z"/>
      </sharedItems>
    </cacheField>
    <cacheField name="Retailer" numFmtId="0">
      <sharedItems>
        <s v="Amazon_US"/>
        <s v="BestBuy_US"/>
        <s v="Costco_Wholesale"/>
      </sharedItems>
    </cacheField>
    <cacheField name="Product" numFmtId="0">
      <sharedItems>
        <s v="AI_Laptop_14"/>
        <s v="Chromebook_Edu"/>
      </sharedItems>
    </cacheField>
    <cacheField name="Exception_Type" numFmtId="0">
      <sharedItems>
        <s v="PRICE_BELOW_CONTRACT"/>
        <s v="CHARGEBACK_OVER_CAP"/>
        <s v="RETURN_SPIKE"/>
      </sharedItems>
    </cacheField>
    <cacheField name="Impact_USD" numFmtId="165">
      <sharedItems containsSemiMixedTypes="0" containsString="0" containsNumber="1">
        <n v="268725.54"/>
        <n v="251607.77"/>
        <n v="232145.1"/>
        <n v="203963.81"/>
        <n v="196882.65"/>
        <n v="32779.5"/>
        <n v="32677.0"/>
        <n v="27411.8"/>
        <n v="26061.0"/>
        <n v="22814.0"/>
        <n v="22730.5"/>
        <n v="21598.2"/>
        <n v="20842.0"/>
        <n v="20026.0"/>
        <n v="19739.2"/>
        <n v="18204.0"/>
        <n v="16575.0"/>
        <n v="16545.1"/>
        <n v="16167.0"/>
        <n v="15313.5"/>
        <n v="14739.0"/>
        <n v="13702.0"/>
        <n v="13226.0"/>
        <n v="12691.9"/>
        <n v="11968.0"/>
        <n v="10914.0"/>
        <n v="9987.9"/>
        <n v="9676.0"/>
        <n v="9594.0"/>
        <n v="8619.0"/>
        <n v="8245.0"/>
        <n v="7621.9"/>
        <n v="6979.7"/>
        <n v="6817.0"/>
        <n v="6519.0"/>
        <n v="5847.4"/>
        <n v="5610.8"/>
        <n v="4613.7"/>
        <n v="4563.0"/>
        <n v="4114.0"/>
      </sharedItems>
    </cacheField>
    <cacheField name="Recoverable" numFmtId="0">
      <sharedItems>
        <s v="Yes"/>
        <s v="No"/>
      </sharedItems>
    </cacheField>
    <cacheField name="Recovery_Action" numFmtId="0">
      <sharedItems>
        <s v="Rebill retailer for the price difference"/>
        <s v="Dispute deduction; request proof and check shipping log"/>
        <s v="Raise with quality team; review returns reserve"/>
      </sharedItems>
    </cacheField>
    <cacheField name="Reason" numFmtId="0">
      <sharedItems>
        <s v="Billed $610.51 vs contract $845.00 (72.2% of contract) on 1146 units"/>
        <s v="Billed $610.51 vs contract $845.00 (72.2% of contract) on 1073 units"/>
        <s v="Billed $610.51 vs contract $845.00 (72.2% of contract) on 990 units"/>
        <s v="Short_Shipment chargeback of $203964 = 54.3% of gross vs 3.0% cap"/>
        <s v="Short_Shipment chargeback of $196883 = 54.3% of gross vs 3.0% cap"/>
        <s v="AI_Laptop_14 returns in 2026-03 ran 8.7% vs 2.1% expect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Exceptions" cacheId="0" dataCaption="" compact="0" compactData="0">
  <location ref="A1:E6" firstHeaderRow="0" firstDataRow="1" firstDataCol="1"/>
  <pivotFields>
    <pivotField name="Invoic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Invoic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tailer" axis="axisRow" compact="0" outline="0" multipleItemSelectionAllowed="1" showAll="0" sortType="ascending">
      <items>
        <item x="0"/>
        <item x="1"/>
        <item x="2"/>
        <item t="default"/>
      </items>
    </pivotField>
    <pivotField name="Product" compact="0" outline="0" multipleItemSelectionAllowed="1" showAll="0">
      <items>
        <item x="0"/>
        <item x="1"/>
        <item t="default"/>
      </items>
    </pivotField>
    <pivotField name="Exception_Type" axis="axisCol" compact="0" outline="0" multipleItemSelectionAllowed="1" showAll="0" sortType="ascending">
      <items>
        <item x="1"/>
        <item x="0"/>
        <item x="2"/>
        <item t="default"/>
      </items>
    </pivotField>
    <pivotField name="Impact_US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Recoverable" compact="0" outline="0" multipleItemSelectionAllowed="1" showAll="0">
      <items>
        <item x="0"/>
        <item x="1"/>
        <item t="default"/>
      </items>
    </pivotField>
    <pivotField name="Recovery_Action" compact="0" outline="0" multipleItemSelectionAllowed="1" showAll="0">
      <items>
        <item x="0"/>
        <item x="1"/>
        <item x="2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colFields>
    <field x="4"/>
  </colFields>
  <dataFields>
    <dataField name="SUM of Impact_USD" fld="5" baseField="0"/>
  </dataFields>
</pivotTableDefinition>
</file>

<file path=xl/tables/table1.xml><?xml version="1.0" encoding="utf-8"?>
<table xmlns="http://schemas.openxmlformats.org/spreadsheetml/2006/main" ref="A1:I41" displayName="tblExceptions" name="tblExceptions" id="1">
  <tableColumns count="9">
    <tableColumn name="Invoice_ID" id="1"/>
    <tableColumn name="Invoice_Date" id="2"/>
    <tableColumn name="Retailer" id="3"/>
    <tableColumn name="Product" id="4"/>
    <tableColumn name="Exception_Type" id="5"/>
    <tableColumn name="Impact_USD" id="6"/>
    <tableColumn name="Recoverable" id="7"/>
    <tableColumn name="Recovery_Action" id="8"/>
    <tableColumn name="Reason" id="9"/>
  </tableColumns>
  <tableStyleInfo name="Exceptions-style" showColumnStripes="0" showFirstColumn="1" showLastColumn="1" showRowStripes="1"/>
</table>
</file>

<file path=xl/tables/table2.xml><?xml version="1.0" encoding="utf-8"?>
<table xmlns="http://schemas.openxmlformats.org/spreadsheetml/2006/main" ref="A1:M1001" displayName="tblShipments" name="tblShipments" id="2">
  <tableColumns count="13">
    <tableColumn name="Invoice_ID" id="1"/>
    <tableColumn name="Invoice_Date" id="2"/>
    <tableColumn name="Retailer" id="3"/>
    <tableColumn name="Product" id="4"/>
    <tableColumn name="Units_Shipped" id="5"/>
    <tableColumn name="Contract_Unit_Price" id="6"/>
    <tableColumn name="Billed_Unit_Price" id="7"/>
    <tableColumn name="Gross_Invoice" id="8"/>
    <tableColumn name="Markdown_Allowance" id="9"/>
    <tableColumn name="Chargeback" id="10"/>
    <tableColumn name="Chargeback_Reason" id="11"/>
    <tableColumn name="Units_Returned" id="12"/>
    <tableColumn name="Month" id="13"/>
  </tableColumns>
  <tableStyleInfo name="Shipments-style" showColumnStripes="0" showFirstColumn="1" showLastColumn="1" showRowStripes="1"/>
</table>
</file>

<file path=xl/tables/table3.xml><?xml version="1.0" encoding="utf-8"?>
<table xmlns="http://schemas.openxmlformats.org/spreadsheetml/2006/main" ref="A1:F10" displayName="tblContractTerms" name="tblContractTerms" id="3">
  <tableColumns count="6">
    <tableColumn name="Retailer" id="1"/>
    <tableColumn name="Product" id="2"/>
    <tableColumn name="Contract_Unit_Price" id="3"/>
    <tableColumn name="Max_Markdown_Pct" id="4"/>
    <tableColumn name="Max_Chargeback_Pct" id="5"/>
    <tableColumn name="Expected_Return_Rate" id="6"/>
  </tableColumns>
  <tableStyleInfo name="Contract_Ter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6" width="8.71"/>
  </cols>
  <sheetData>
    <row r="1">
      <c r="A1" s="3" t="s">
        <v>1</v>
      </c>
    </row>
    <row r="3">
      <c r="A3" s="5" t="s">
        <v>3</v>
      </c>
    </row>
    <row r="4">
      <c r="A4" s="5" t="s">
        <v>4</v>
      </c>
    </row>
    <row r="5">
      <c r="A5" s="5"/>
    </row>
    <row r="6">
      <c r="A6" s="7" t="s">
        <v>5</v>
      </c>
    </row>
    <row r="7">
      <c r="A7" s="5" t="s">
        <v>8</v>
      </c>
    </row>
    <row r="8">
      <c r="A8" s="5" t="s">
        <v>11</v>
      </c>
    </row>
    <row r="9">
      <c r="A9" s="5" t="s">
        <v>12</v>
      </c>
    </row>
    <row r="10">
      <c r="A10" s="5" t="s">
        <v>14</v>
      </c>
    </row>
    <row r="11">
      <c r="A11" s="5"/>
    </row>
    <row r="12">
      <c r="A12" s="7" t="s">
        <v>15</v>
      </c>
    </row>
    <row r="13">
      <c r="A13" s="5" t="s">
        <v>16</v>
      </c>
    </row>
    <row r="14">
      <c r="A14" s="5"/>
    </row>
    <row r="15">
      <c r="A15" s="5" t="s">
        <v>17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18.0"/>
    <col customWidth="1" min="3" max="3" width="20.0"/>
    <col customWidth="1" min="4" max="4" width="90.0"/>
    <col customWidth="1" min="5" max="5" width="8.71"/>
    <col customWidth="1" min="6" max="6" width="22.14"/>
    <col customWidth="1" min="7" max="7" width="18.0"/>
  </cols>
  <sheetData>
    <row r="1">
      <c r="A1" s="1" t="s">
        <v>1096</v>
      </c>
    </row>
    <row r="2">
      <c r="A2" s="37" t="s">
        <v>1097</v>
      </c>
    </row>
    <row r="4">
      <c r="A4" s="38" t="s">
        <v>1098</v>
      </c>
      <c r="B4" s="38" t="s">
        <v>1099</v>
      </c>
      <c r="C4" s="39" t="s">
        <v>1100</v>
      </c>
      <c r="D4" s="40"/>
      <c r="F4" s="41" t="s">
        <v>1101</v>
      </c>
    </row>
    <row r="5">
      <c r="A5" s="44" t="s">
        <v>1102</v>
      </c>
      <c r="B5" s="47">
        <f>SUMPRODUCT(Shipments!$E$2:$E$1001,Shipments!$F$2:$F$1001)</f>
        <v>225727565</v>
      </c>
      <c r="C5" s="50">
        <f t="shared" ref="C5:C12" si="1">IF(B5="","",B5/$B$5)</f>
        <v>1</v>
      </c>
      <c r="D5" s="51"/>
      <c r="F5" s="52" t="s">
        <v>1104</v>
      </c>
      <c r="G5" s="53">
        <f t="shared" ref="G5:G6" si="2">B5</f>
        <v>225727565</v>
      </c>
    </row>
    <row r="6">
      <c r="A6" s="55" t="s">
        <v>1105</v>
      </c>
      <c r="B6" s="56">
        <f>SUM(Shipments!$H$2:$H$1001)-B5</f>
        <v>-752478.41</v>
      </c>
      <c r="C6" s="58">
        <f t="shared" si="1"/>
        <v>-0.003333568986</v>
      </c>
      <c r="D6" s="51"/>
      <c r="F6" s="41" t="s">
        <v>1106</v>
      </c>
      <c r="G6" s="53">
        <f t="shared" si="2"/>
        <v>-752478.41</v>
      </c>
    </row>
    <row r="7">
      <c r="A7" s="44" t="s">
        <v>1107</v>
      </c>
      <c r="B7" s="60">
        <f>B5+B6</f>
        <v>224975086.6</v>
      </c>
      <c r="C7" s="50">
        <f t="shared" si="1"/>
        <v>0.996666431</v>
      </c>
      <c r="D7" s="51"/>
      <c r="F7" s="41" t="s">
        <v>1108</v>
      </c>
      <c r="G7" s="53">
        <f t="shared" ref="G7:G10" si="3">B8</f>
        <v>-9629231.68</v>
      </c>
    </row>
    <row r="8">
      <c r="A8" s="55" t="s">
        <v>1109</v>
      </c>
      <c r="B8" s="56">
        <f>-SUM(Shipments!$I$2:$I$1001)</f>
        <v>-9629231.68</v>
      </c>
      <c r="C8" s="58">
        <f t="shared" si="1"/>
        <v>-0.04265864331</v>
      </c>
      <c r="D8" s="51"/>
      <c r="F8" s="52" t="s">
        <v>1110</v>
      </c>
      <c r="G8" s="53">
        <f t="shared" si="3"/>
        <v>-1287405.79</v>
      </c>
    </row>
    <row r="9">
      <c r="A9" s="55" t="s">
        <v>1111</v>
      </c>
      <c r="B9" s="56">
        <f>-(SUM(Shipments!$J$2:$J$1001)+B10)</f>
        <v>-1287405.79</v>
      </c>
      <c r="C9" s="58">
        <f t="shared" si="1"/>
        <v>-0.005703360996</v>
      </c>
      <c r="D9" s="51"/>
      <c r="F9" s="52" t="s">
        <v>1112</v>
      </c>
      <c r="G9" s="53">
        <f t="shared" si="3"/>
        <v>-400846.46</v>
      </c>
    </row>
    <row r="10">
      <c r="A10" s="55" t="s">
        <v>1113</v>
      </c>
      <c r="B10" s="61">
        <f>-SUMIFS(Exceptions!$F$2:$F$41,Exceptions!$E$2:$E$41,"CHARGEBACK_OVER_CAP")</f>
        <v>-400846.46</v>
      </c>
      <c r="C10" s="58">
        <f t="shared" si="1"/>
        <v>-0.001775797564</v>
      </c>
      <c r="D10" s="51"/>
      <c r="F10" s="41" t="s">
        <v>1114</v>
      </c>
      <c r="G10" s="53">
        <f t="shared" si="3"/>
        <v>-5126908.66</v>
      </c>
    </row>
    <row r="11">
      <c r="A11" s="55" t="s">
        <v>1115</v>
      </c>
      <c r="B11" s="61">
        <f>-SUMPRODUCT(Shipments!$L$2:$L$1001,Shipments!$G$2:$G$1001)</f>
        <v>-5126908.66</v>
      </c>
      <c r="C11" s="58">
        <f t="shared" si="1"/>
        <v>-0.02271281604</v>
      </c>
      <c r="D11" s="51"/>
    </row>
    <row r="12">
      <c r="A12" s="44" t="s">
        <v>1116</v>
      </c>
      <c r="B12" s="60">
        <f>SUM(B7:B11)</f>
        <v>208530694</v>
      </c>
      <c r="C12" s="50">
        <f t="shared" si="1"/>
        <v>0.9238158131</v>
      </c>
      <c r="D12" s="51"/>
    </row>
    <row r="14">
      <c r="A14" s="37" t="s">
        <v>1117</v>
      </c>
      <c r="B14" s="62">
        <f>SUM(Shipments!$H$2:$H$1001)-SUM(Shipments!$I$2:$I$1001)-SUM(Shipments!$J$2:$J$1001)-SUMPRODUCT(Shipments!$L$2:$L$1001,Shipments!$G$2:$G$1001)</f>
        <v>208530694</v>
      </c>
    </row>
    <row r="15">
      <c r="A15" s="37" t="s">
        <v>1118</v>
      </c>
      <c r="B15" s="62">
        <f>IF(B12="","",B12-B14)</f>
        <v>0</v>
      </c>
    </row>
    <row r="17">
      <c r="A17" s="6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2.43"/>
    <col customWidth="1" min="2" max="2" width="24.57"/>
    <col customWidth="1" min="3" max="6" width="14.43"/>
  </cols>
  <sheetData>
    <row r="1">
      <c r="A1" s="1" t="s">
        <v>0</v>
      </c>
    </row>
    <row r="2">
      <c r="A2" s="2"/>
      <c r="B2" s="2"/>
      <c r="C2" s="4"/>
    </row>
    <row r="3">
      <c r="A3" s="6" t="s">
        <v>2</v>
      </c>
      <c r="B3" s="2"/>
      <c r="C3" s="4"/>
    </row>
    <row r="4">
      <c r="A4" s="2" t="s">
        <v>6</v>
      </c>
      <c r="B4" s="8" t="s">
        <v>7</v>
      </c>
      <c r="C4" s="4"/>
    </row>
    <row r="5">
      <c r="A5" s="2" t="s">
        <v>9</v>
      </c>
      <c r="B5" s="9" t="s">
        <v>10</v>
      </c>
      <c r="C5" s="4"/>
    </row>
    <row r="6">
      <c r="A6" s="2" t="s">
        <v>13</v>
      </c>
      <c r="B6" s="10">
        <v>0.021224</v>
      </c>
      <c r="C6" s="4"/>
    </row>
    <row r="7">
      <c r="A7" s="2"/>
      <c r="B7" s="11"/>
      <c r="C7" s="4"/>
    </row>
    <row r="8">
      <c r="A8" s="12" t="s">
        <v>18</v>
      </c>
      <c r="B8" s="11"/>
      <c r="C8" s="4"/>
    </row>
    <row r="9">
      <c r="A9" s="2" t="s">
        <v>19</v>
      </c>
      <c r="B9" s="13">
        <f>SUMIFS(Shipments!E:E,Shipments!D:D,B5,Shipments!M:M,B4)</f>
        <v>9125</v>
      </c>
      <c r="C9" s="4"/>
    </row>
    <row r="10">
      <c r="A10" s="2" t="s">
        <v>20</v>
      </c>
      <c r="B10" s="14">
        <f>SUMIFS(Shipments!L:L,Shipments!D:D,B5,Shipments!M:M,B4)</f>
        <v>795</v>
      </c>
      <c r="C10" s="4"/>
    </row>
    <row r="11">
      <c r="A11" s="2" t="s">
        <v>21</v>
      </c>
      <c r="B11" s="15">
        <f>B10/B9</f>
        <v>0.08712328767</v>
      </c>
      <c r="C11" s="4"/>
    </row>
    <row r="12">
      <c r="A12" s="16" t="s">
        <v>22</v>
      </c>
      <c r="B12" s="13">
        <f>B9*B6</f>
        <v>193.669</v>
      </c>
      <c r="C12" s="4"/>
    </row>
    <row r="13">
      <c r="A13" s="2" t="s">
        <v>23</v>
      </c>
      <c r="B13" s="13">
        <f>B10-B12</f>
        <v>601.331</v>
      </c>
      <c r="C13" s="4"/>
    </row>
    <row r="14">
      <c r="A14" s="2" t="s">
        <v>24</v>
      </c>
      <c r="B14" s="17">
        <f>SUMPRODUCT((Shipments!D2:D1001=B5)*(Shipments!M2:M1001=B4)*Shipments!E2:E1001*Shipments!F2:F1001)/B9</f>
        <v>841.109589</v>
      </c>
      <c r="C14" s="4"/>
    </row>
    <row r="15">
      <c r="A15" s="2" t="s">
        <v>25</v>
      </c>
      <c r="B15" s="18">
        <f>B13*B14</f>
        <v>505785.2703</v>
      </c>
      <c r="C15" s="4"/>
    </row>
    <row r="16">
      <c r="A16" s="2"/>
      <c r="B16" s="11"/>
      <c r="C16" s="4"/>
    </row>
    <row r="17">
      <c r="A17" s="12" t="s">
        <v>26</v>
      </c>
      <c r="B17" s="11"/>
      <c r="C17" s="4"/>
    </row>
    <row r="18">
      <c r="A18" s="19" t="s">
        <v>27</v>
      </c>
      <c r="B18" s="20">
        <f>SUMIFS(Shipments!E:E,Shipments!D:D,B5,Shipments!M:M,"2025-11")+SUMIFS(Shipments!E:E,Shipments!D:D,B5,Shipments!M:M,"2025-12")</f>
        <v>34285</v>
      </c>
      <c r="C18" s="4"/>
    </row>
    <row r="19">
      <c r="A19" s="19" t="s">
        <v>28</v>
      </c>
      <c r="B19" s="18">
        <f>B18*(B11-B6)*B14</f>
        <v>1900366.903</v>
      </c>
      <c r="C19" s="4"/>
    </row>
    <row r="20">
      <c r="A20" s="4"/>
      <c r="B20" s="4"/>
      <c r="C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1.71"/>
    <col customWidth="1" min="2" max="2" width="14.43"/>
    <col customWidth="1" min="3" max="3" width="22.86"/>
    <col customWidth="1" min="4" max="4" width="25.71"/>
    <col customWidth="1" min="5" max="5" width="18.29"/>
    <col customWidth="1" min="6" max="6" width="60.57"/>
    <col customWidth="1" min="7" max="7" width="16.14"/>
    <col customWidth="1" min="9" max="9" width="29.86"/>
  </cols>
  <sheetData>
    <row r="1">
      <c r="A1" s="31" t="s">
        <v>1090</v>
      </c>
    </row>
    <row r="2">
      <c r="A2" s="32" t="s">
        <v>1091</v>
      </c>
    </row>
    <row r="4">
      <c r="A4" s="33" t="s">
        <v>97</v>
      </c>
      <c r="B4" s="34"/>
      <c r="C4" s="35" t="s">
        <v>1092</v>
      </c>
      <c r="D4" s="34"/>
      <c r="E4" s="33" t="s">
        <v>1093</v>
      </c>
      <c r="F4" s="34"/>
      <c r="G4" s="36" t="s">
        <v>1094</v>
      </c>
      <c r="H4" s="34"/>
      <c r="I4" s="34" t="s">
        <v>1095</v>
      </c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2">
        <f>SUM(Exceptions!F2:F41)</f>
        <v>1658857.97</v>
      </c>
      <c r="B5" s="43"/>
      <c r="C5" s="45">
        <f>SUMIFS(Exceptions!F2:F41,Exceptions!G2:G41,"Yes")</f>
        <v>1153324.87</v>
      </c>
      <c r="D5" s="43"/>
      <c r="E5" s="46">
        <f>SUMIFS(Exceptions!F2:F41,Exceptions!G2:G41,"No")</f>
        <v>505533.1</v>
      </c>
      <c r="F5" s="43"/>
      <c r="G5" s="48">
        <f>A5/Gross_to_Net!B7</f>
        <v>0.007373518531</v>
      </c>
      <c r="H5" s="43"/>
      <c r="I5" s="49">
        <f>Returns_Reserve!B19</f>
        <v>1900366.903</v>
      </c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8">
      <c r="A8" s="41" t="s">
        <v>1103</v>
      </c>
    </row>
    <row r="9">
      <c r="A9" s="54" t="str">
        <f>IFERROR(__xludf.DUMMYFUNCTION("QUERY(Exceptions!A1:I41,""select A,B,C,E,F,I order by F desc limit 5"",1)"),"Invoice_ID")</f>
        <v>Invoice_ID</v>
      </c>
      <c r="B9" s="54" t="str">
        <f>IFERROR(__xludf.DUMMYFUNCTION("""COMPUTED_VALUE"""),"Invoice_Date")</f>
        <v>Invoice_Date</v>
      </c>
      <c r="C9" s="54" t="str">
        <f>IFERROR(__xludf.DUMMYFUNCTION("""COMPUTED_VALUE"""),"Retailer")</f>
        <v>Retailer</v>
      </c>
      <c r="D9" s="54" t="str">
        <f>IFERROR(__xludf.DUMMYFUNCTION("""COMPUTED_VALUE"""),"Exception_Type")</f>
        <v>Exception_Type</v>
      </c>
      <c r="E9" s="54" t="str">
        <f>IFERROR(__xludf.DUMMYFUNCTION("""COMPUTED_VALUE"""),"Impact_USD")</f>
        <v>Impact_USD</v>
      </c>
      <c r="F9" s="54" t="str">
        <f>IFERROR(__xludf.DUMMYFUNCTION("""COMPUTED_VALUE"""),"Reason")</f>
        <v>Reason</v>
      </c>
    </row>
    <row r="10">
      <c r="A10" s="41" t="str">
        <f>IFERROR(__xludf.DUMMYFUNCTION("""COMPUTED_VALUE"""),"INV-100193")</f>
        <v>INV-100193</v>
      </c>
      <c r="B10" s="57">
        <f>IFERROR(__xludf.DUMMYFUNCTION("""COMPUTED_VALUE"""),45985.0)</f>
        <v>45985</v>
      </c>
      <c r="C10" s="41" t="str">
        <f>IFERROR(__xludf.DUMMYFUNCTION("""COMPUTED_VALUE"""),"Amazon_US")</f>
        <v>Amazon_US</v>
      </c>
      <c r="D10" s="41" t="str">
        <f>IFERROR(__xludf.DUMMYFUNCTION("""COMPUTED_VALUE"""),"PRICE_BELOW_CONTRACT")</f>
        <v>PRICE_BELOW_CONTRACT</v>
      </c>
      <c r="E10" s="59">
        <f>IFERROR(__xludf.DUMMYFUNCTION("""COMPUTED_VALUE"""),268725.54)</f>
        <v>268725.54</v>
      </c>
      <c r="F10" s="41" t="str">
        <f>IFERROR(__xludf.DUMMYFUNCTION("""COMPUTED_VALUE"""),"Billed $610.51 vs contract $845.00 (72.2% of contract) on 1146 units")</f>
        <v>Billed $610.51 vs contract $845.00 (72.2% of contract) on 1146 units</v>
      </c>
    </row>
    <row r="11">
      <c r="A11" s="41" t="str">
        <f>IFERROR(__xludf.DUMMYFUNCTION("""COMPUTED_VALUE"""),"INV-100216")</f>
        <v>INV-100216</v>
      </c>
      <c r="B11" s="57">
        <f>IFERROR(__xludf.DUMMYFUNCTION("""COMPUTED_VALUE"""),45991.0)</f>
        <v>45991</v>
      </c>
      <c r="C11" s="41" t="str">
        <f>IFERROR(__xludf.DUMMYFUNCTION("""COMPUTED_VALUE"""),"Amazon_US")</f>
        <v>Amazon_US</v>
      </c>
      <c r="D11" s="41" t="str">
        <f>IFERROR(__xludf.DUMMYFUNCTION("""COMPUTED_VALUE"""),"PRICE_BELOW_CONTRACT")</f>
        <v>PRICE_BELOW_CONTRACT</v>
      </c>
      <c r="E11" s="59">
        <f>IFERROR(__xludf.DUMMYFUNCTION("""COMPUTED_VALUE"""),251607.77)</f>
        <v>251607.77</v>
      </c>
      <c r="F11" s="41" t="str">
        <f>IFERROR(__xludf.DUMMYFUNCTION("""COMPUTED_VALUE"""),"Billed $610.51 vs contract $845.00 (72.2% of contract) on 1073 units")</f>
        <v>Billed $610.51 vs contract $845.00 (72.2% of contract) on 1073 units</v>
      </c>
    </row>
    <row r="12">
      <c r="A12" s="41" t="str">
        <f>IFERROR(__xludf.DUMMYFUNCTION("""COMPUTED_VALUE"""),"INV-100219")</f>
        <v>INV-100219</v>
      </c>
      <c r="B12" s="57">
        <f>IFERROR(__xludf.DUMMYFUNCTION("""COMPUTED_VALUE"""),45991.0)</f>
        <v>45991</v>
      </c>
      <c r="C12" s="41" t="str">
        <f>IFERROR(__xludf.DUMMYFUNCTION("""COMPUTED_VALUE"""),"Amazon_US")</f>
        <v>Amazon_US</v>
      </c>
      <c r="D12" s="41" t="str">
        <f>IFERROR(__xludf.DUMMYFUNCTION("""COMPUTED_VALUE"""),"PRICE_BELOW_CONTRACT")</f>
        <v>PRICE_BELOW_CONTRACT</v>
      </c>
      <c r="E12" s="59">
        <f>IFERROR(__xludf.DUMMYFUNCTION("""COMPUTED_VALUE"""),232145.1)</f>
        <v>232145.1</v>
      </c>
      <c r="F12" s="41" t="str">
        <f>IFERROR(__xludf.DUMMYFUNCTION("""COMPUTED_VALUE"""),"Billed $610.51 vs contract $845.00 (72.2% of contract) on 990 units")</f>
        <v>Billed $610.51 vs contract $845.00 (72.2% of contract) on 990 units</v>
      </c>
    </row>
    <row r="13">
      <c r="A13" s="41" t="str">
        <f>IFERROR(__xludf.DUMMYFUNCTION("""COMPUTED_VALUE"""),"INV-100829")</f>
        <v>INV-100829</v>
      </c>
      <c r="B13" s="57">
        <f>IFERROR(__xludf.DUMMYFUNCTION("""COMPUTED_VALUE"""),46251.0)</f>
        <v>46251</v>
      </c>
      <c r="C13" s="41" t="str">
        <f>IFERROR(__xludf.DUMMYFUNCTION("""COMPUTED_VALUE"""),"BestBuy_US")</f>
        <v>BestBuy_US</v>
      </c>
      <c r="D13" s="41" t="str">
        <f>IFERROR(__xludf.DUMMYFUNCTION("""COMPUTED_VALUE"""),"CHARGEBACK_OVER_CAP")</f>
        <v>CHARGEBACK_OVER_CAP</v>
      </c>
      <c r="E13" s="59">
        <f>IFERROR(__xludf.DUMMYFUNCTION("""COMPUTED_VALUE"""),203963.81)</f>
        <v>203963.81</v>
      </c>
      <c r="F13" s="41" t="str">
        <f>IFERROR(__xludf.DUMMYFUNCTION("""COMPUTED_VALUE"""),"Short_Shipment chargeback of $203964 = 54.3% of gross vs 3.0% cap")</f>
        <v>Short_Shipment chargeback of $203964 = 54.3% of gross vs 3.0% cap</v>
      </c>
    </row>
    <row r="14">
      <c r="A14" s="41" t="str">
        <f>IFERROR(__xludf.DUMMYFUNCTION("""COMPUTED_VALUE"""),"INV-100875")</f>
        <v>INV-100875</v>
      </c>
      <c r="B14" s="57">
        <f>IFERROR(__xludf.DUMMYFUNCTION("""COMPUTED_VALUE"""),46263.0)</f>
        <v>46263</v>
      </c>
      <c r="C14" s="41" t="str">
        <f>IFERROR(__xludf.DUMMYFUNCTION("""COMPUTED_VALUE"""),"BestBuy_US")</f>
        <v>BestBuy_US</v>
      </c>
      <c r="D14" s="41" t="str">
        <f>IFERROR(__xludf.DUMMYFUNCTION("""COMPUTED_VALUE"""),"CHARGEBACK_OVER_CAP")</f>
        <v>CHARGEBACK_OVER_CAP</v>
      </c>
      <c r="E14" s="59">
        <f>IFERROR(__xludf.DUMMYFUNCTION("""COMPUTED_VALUE"""),196882.65)</f>
        <v>196882.65</v>
      </c>
      <c r="F14" s="41" t="str">
        <f>IFERROR(__xludf.DUMMYFUNCTION("""COMPUTED_VALUE"""),"Short_Shipment chargeback of $196883 = 54.3% of gross vs 3.0% cap")</f>
        <v>Short_Shipment chargeback of $196883 = 54.3% of gross vs 3.0% cap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1.0"/>
    <col customWidth="1" min="3" max="3" width="18.0"/>
    <col customWidth="1" min="4" max="4" width="17.0"/>
    <col customWidth="1" min="5" max="5" width="22.0"/>
    <col customWidth="1" min="6" max="6" width="12.0"/>
    <col customWidth="1" min="7" max="7" width="13.0"/>
    <col customWidth="1" min="8" max="8" width="57.0"/>
    <col customWidth="1" min="9" max="9" width="60.0"/>
  </cols>
  <sheetData>
    <row r="1">
      <c r="A1" s="21" t="s">
        <v>29</v>
      </c>
      <c r="B1" s="21" t="s">
        <v>30</v>
      </c>
      <c r="C1" s="21" t="s">
        <v>31</v>
      </c>
      <c r="D1" s="21" t="s">
        <v>9</v>
      </c>
      <c r="E1" s="21" t="s">
        <v>32</v>
      </c>
      <c r="F1" s="21" t="s">
        <v>33</v>
      </c>
      <c r="G1" s="21" t="s">
        <v>34</v>
      </c>
      <c r="H1" s="21" t="s">
        <v>35</v>
      </c>
      <c r="I1" s="21" t="s">
        <v>36</v>
      </c>
    </row>
    <row r="2">
      <c r="A2" s="22" t="s">
        <v>37</v>
      </c>
      <c r="B2" s="23">
        <v>45985.0</v>
      </c>
      <c r="C2" s="22" t="s">
        <v>38</v>
      </c>
      <c r="D2" s="22" t="s">
        <v>10</v>
      </c>
      <c r="E2" s="22" t="s">
        <v>39</v>
      </c>
      <c r="F2" s="24">
        <v>268725.54</v>
      </c>
      <c r="G2" s="22" t="s">
        <v>40</v>
      </c>
      <c r="H2" s="22" t="s">
        <v>41</v>
      </c>
      <c r="I2" s="22" t="s">
        <v>42</v>
      </c>
    </row>
    <row r="3">
      <c r="A3" s="22" t="s">
        <v>43</v>
      </c>
      <c r="B3" s="23">
        <v>45991.0</v>
      </c>
      <c r="C3" s="22" t="s">
        <v>38</v>
      </c>
      <c r="D3" s="22" t="s">
        <v>10</v>
      </c>
      <c r="E3" s="22" t="s">
        <v>39</v>
      </c>
      <c r="F3" s="24">
        <v>251607.77</v>
      </c>
      <c r="G3" s="22" t="s">
        <v>40</v>
      </c>
      <c r="H3" s="22" t="s">
        <v>41</v>
      </c>
      <c r="I3" s="22" t="s">
        <v>44</v>
      </c>
    </row>
    <row r="4">
      <c r="A4" s="22" t="s">
        <v>45</v>
      </c>
      <c r="B4" s="23">
        <v>45991.0</v>
      </c>
      <c r="C4" s="22" t="s">
        <v>38</v>
      </c>
      <c r="D4" s="22" t="s">
        <v>10</v>
      </c>
      <c r="E4" s="22" t="s">
        <v>39</v>
      </c>
      <c r="F4" s="24">
        <v>232145.1</v>
      </c>
      <c r="G4" s="22" t="s">
        <v>40</v>
      </c>
      <c r="H4" s="22" t="s">
        <v>41</v>
      </c>
      <c r="I4" s="22" t="s">
        <v>46</v>
      </c>
    </row>
    <row r="5">
      <c r="A5" s="22" t="s">
        <v>47</v>
      </c>
      <c r="B5" s="23">
        <v>46251.0</v>
      </c>
      <c r="C5" s="22" t="s">
        <v>48</v>
      </c>
      <c r="D5" s="22" t="s">
        <v>49</v>
      </c>
      <c r="E5" s="22" t="s">
        <v>50</v>
      </c>
      <c r="F5" s="24">
        <v>203963.81</v>
      </c>
      <c r="G5" s="22" t="s">
        <v>40</v>
      </c>
      <c r="H5" s="22" t="s">
        <v>51</v>
      </c>
      <c r="I5" s="22" t="s">
        <v>52</v>
      </c>
    </row>
    <row r="6">
      <c r="A6" s="22" t="s">
        <v>53</v>
      </c>
      <c r="B6" s="23">
        <v>46263.0</v>
      </c>
      <c r="C6" s="22" t="s">
        <v>48</v>
      </c>
      <c r="D6" s="22" t="s">
        <v>49</v>
      </c>
      <c r="E6" s="22" t="s">
        <v>50</v>
      </c>
      <c r="F6" s="24">
        <v>196882.65</v>
      </c>
      <c r="G6" s="22" t="s">
        <v>40</v>
      </c>
      <c r="H6" s="22" t="s">
        <v>51</v>
      </c>
      <c r="I6" s="22" t="s">
        <v>54</v>
      </c>
    </row>
    <row r="7">
      <c r="A7" s="22" t="s">
        <v>55</v>
      </c>
      <c r="B7" s="23">
        <v>46087.0</v>
      </c>
      <c r="C7" s="22" t="s">
        <v>56</v>
      </c>
      <c r="D7" s="22" t="s">
        <v>10</v>
      </c>
      <c r="E7" s="22" t="s">
        <v>57</v>
      </c>
      <c r="F7" s="24">
        <v>32779.5</v>
      </c>
      <c r="G7" s="22" t="s">
        <v>58</v>
      </c>
      <c r="H7" s="22" t="s">
        <v>59</v>
      </c>
      <c r="I7" s="22" t="s">
        <v>60</v>
      </c>
    </row>
    <row r="8">
      <c r="A8" s="22" t="s">
        <v>61</v>
      </c>
      <c r="B8" s="23">
        <v>46086.0</v>
      </c>
      <c r="C8" s="22" t="s">
        <v>56</v>
      </c>
      <c r="D8" s="22" t="s">
        <v>10</v>
      </c>
      <c r="E8" s="22" t="s">
        <v>57</v>
      </c>
      <c r="F8" s="24">
        <v>32677.0</v>
      </c>
      <c r="G8" s="22" t="s">
        <v>58</v>
      </c>
      <c r="H8" s="22" t="s">
        <v>59</v>
      </c>
      <c r="I8" s="22" t="s">
        <v>60</v>
      </c>
    </row>
    <row r="9">
      <c r="A9" s="22" t="s">
        <v>62</v>
      </c>
      <c r="B9" s="23">
        <v>46107.0</v>
      </c>
      <c r="C9" s="22" t="s">
        <v>38</v>
      </c>
      <c r="D9" s="22" t="s">
        <v>10</v>
      </c>
      <c r="E9" s="22" t="s">
        <v>57</v>
      </c>
      <c r="F9" s="24">
        <v>27411.8</v>
      </c>
      <c r="G9" s="22" t="s">
        <v>58</v>
      </c>
      <c r="H9" s="22" t="s">
        <v>59</v>
      </c>
      <c r="I9" s="22" t="s">
        <v>60</v>
      </c>
    </row>
    <row r="10">
      <c r="A10" s="22" t="s">
        <v>63</v>
      </c>
      <c r="B10" s="23">
        <v>46083.0</v>
      </c>
      <c r="C10" s="22" t="s">
        <v>48</v>
      </c>
      <c r="D10" s="22" t="s">
        <v>10</v>
      </c>
      <c r="E10" s="22" t="s">
        <v>57</v>
      </c>
      <c r="F10" s="24">
        <v>26061.0</v>
      </c>
      <c r="G10" s="22" t="s">
        <v>58</v>
      </c>
      <c r="H10" s="22" t="s">
        <v>59</v>
      </c>
      <c r="I10" s="22" t="s">
        <v>60</v>
      </c>
    </row>
    <row r="11">
      <c r="A11" s="22" t="s">
        <v>64</v>
      </c>
      <c r="B11" s="23">
        <v>46101.0</v>
      </c>
      <c r="C11" s="22" t="s">
        <v>48</v>
      </c>
      <c r="D11" s="22" t="s">
        <v>10</v>
      </c>
      <c r="E11" s="22" t="s">
        <v>57</v>
      </c>
      <c r="F11" s="24">
        <v>22814.0</v>
      </c>
      <c r="G11" s="22" t="s">
        <v>58</v>
      </c>
      <c r="H11" s="22" t="s">
        <v>59</v>
      </c>
      <c r="I11" s="22" t="s">
        <v>60</v>
      </c>
    </row>
    <row r="12">
      <c r="A12" s="22" t="s">
        <v>65</v>
      </c>
      <c r="B12" s="23">
        <v>46100.0</v>
      </c>
      <c r="C12" s="22" t="s">
        <v>38</v>
      </c>
      <c r="D12" s="22" t="s">
        <v>10</v>
      </c>
      <c r="E12" s="22" t="s">
        <v>57</v>
      </c>
      <c r="F12" s="24">
        <v>22730.5</v>
      </c>
      <c r="G12" s="22" t="s">
        <v>58</v>
      </c>
      <c r="H12" s="22" t="s">
        <v>59</v>
      </c>
      <c r="I12" s="22" t="s">
        <v>60</v>
      </c>
    </row>
    <row r="13">
      <c r="A13" s="22" t="s">
        <v>66</v>
      </c>
      <c r="B13" s="23">
        <v>46084.0</v>
      </c>
      <c r="C13" s="22" t="s">
        <v>38</v>
      </c>
      <c r="D13" s="22" t="s">
        <v>10</v>
      </c>
      <c r="E13" s="22" t="s">
        <v>57</v>
      </c>
      <c r="F13" s="24">
        <v>21598.2</v>
      </c>
      <c r="G13" s="22" t="s">
        <v>58</v>
      </c>
      <c r="H13" s="22" t="s">
        <v>59</v>
      </c>
      <c r="I13" s="22" t="s">
        <v>60</v>
      </c>
    </row>
    <row r="14">
      <c r="A14" s="22" t="s">
        <v>67</v>
      </c>
      <c r="B14" s="23">
        <v>46112.0</v>
      </c>
      <c r="C14" s="22" t="s">
        <v>48</v>
      </c>
      <c r="D14" s="22" t="s">
        <v>10</v>
      </c>
      <c r="E14" s="22" t="s">
        <v>57</v>
      </c>
      <c r="F14" s="24">
        <v>20842.0</v>
      </c>
      <c r="G14" s="22" t="s">
        <v>58</v>
      </c>
      <c r="H14" s="22" t="s">
        <v>59</v>
      </c>
      <c r="I14" s="22" t="s">
        <v>60</v>
      </c>
    </row>
    <row r="15">
      <c r="A15" s="22" t="s">
        <v>68</v>
      </c>
      <c r="B15" s="23">
        <v>46100.0</v>
      </c>
      <c r="C15" s="22" t="s">
        <v>48</v>
      </c>
      <c r="D15" s="22" t="s">
        <v>10</v>
      </c>
      <c r="E15" s="22" t="s">
        <v>57</v>
      </c>
      <c r="F15" s="24">
        <v>20026.0</v>
      </c>
      <c r="G15" s="22" t="s">
        <v>58</v>
      </c>
      <c r="H15" s="22" t="s">
        <v>59</v>
      </c>
      <c r="I15" s="22" t="s">
        <v>60</v>
      </c>
    </row>
    <row r="16">
      <c r="A16" s="22" t="s">
        <v>69</v>
      </c>
      <c r="B16" s="23">
        <v>46105.0</v>
      </c>
      <c r="C16" s="22" t="s">
        <v>38</v>
      </c>
      <c r="D16" s="22" t="s">
        <v>10</v>
      </c>
      <c r="E16" s="22" t="s">
        <v>57</v>
      </c>
      <c r="F16" s="24">
        <v>19739.2</v>
      </c>
      <c r="G16" s="22" t="s">
        <v>58</v>
      </c>
      <c r="H16" s="22" t="s">
        <v>59</v>
      </c>
      <c r="I16" s="22" t="s">
        <v>60</v>
      </c>
    </row>
    <row r="17">
      <c r="A17" s="22" t="s">
        <v>70</v>
      </c>
      <c r="B17" s="23">
        <v>46104.0</v>
      </c>
      <c r="C17" s="22" t="s">
        <v>56</v>
      </c>
      <c r="D17" s="22" t="s">
        <v>10</v>
      </c>
      <c r="E17" s="22" t="s">
        <v>57</v>
      </c>
      <c r="F17" s="24">
        <v>18204.0</v>
      </c>
      <c r="G17" s="22" t="s">
        <v>58</v>
      </c>
      <c r="H17" s="22" t="s">
        <v>59</v>
      </c>
      <c r="I17" s="22" t="s">
        <v>60</v>
      </c>
    </row>
    <row r="18">
      <c r="A18" s="22" t="s">
        <v>71</v>
      </c>
      <c r="B18" s="23">
        <v>46106.0</v>
      </c>
      <c r="C18" s="22" t="s">
        <v>48</v>
      </c>
      <c r="D18" s="22" t="s">
        <v>10</v>
      </c>
      <c r="E18" s="22" t="s">
        <v>57</v>
      </c>
      <c r="F18" s="24">
        <v>16575.0</v>
      </c>
      <c r="G18" s="22" t="s">
        <v>58</v>
      </c>
      <c r="H18" s="22" t="s">
        <v>59</v>
      </c>
      <c r="I18" s="22" t="s">
        <v>60</v>
      </c>
    </row>
    <row r="19">
      <c r="A19" s="22" t="s">
        <v>72</v>
      </c>
      <c r="B19" s="23">
        <v>46086.0</v>
      </c>
      <c r="C19" s="22" t="s">
        <v>38</v>
      </c>
      <c r="D19" s="22" t="s">
        <v>10</v>
      </c>
      <c r="E19" s="22" t="s">
        <v>57</v>
      </c>
      <c r="F19" s="24">
        <v>16545.1</v>
      </c>
      <c r="G19" s="22" t="s">
        <v>58</v>
      </c>
      <c r="H19" s="22" t="s">
        <v>59</v>
      </c>
      <c r="I19" s="22" t="s">
        <v>60</v>
      </c>
    </row>
    <row r="20">
      <c r="A20" s="22" t="s">
        <v>73</v>
      </c>
      <c r="B20" s="23">
        <v>46108.0</v>
      </c>
      <c r="C20" s="22" t="s">
        <v>48</v>
      </c>
      <c r="D20" s="22" t="s">
        <v>10</v>
      </c>
      <c r="E20" s="22" t="s">
        <v>57</v>
      </c>
      <c r="F20" s="24">
        <v>16167.0</v>
      </c>
      <c r="G20" s="22" t="s">
        <v>58</v>
      </c>
      <c r="H20" s="22" t="s">
        <v>59</v>
      </c>
      <c r="I20" s="22" t="s">
        <v>60</v>
      </c>
    </row>
    <row r="21" ht="15.75" customHeight="1">
      <c r="A21" s="22" t="s">
        <v>74</v>
      </c>
      <c r="B21" s="23">
        <v>46095.0</v>
      </c>
      <c r="C21" s="22" t="s">
        <v>56</v>
      </c>
      <c r="D21" s="22" t="s">
        <v>10</v>
      </c>
      <c r="E21" s="22" t="s">
        <v>57</v>
      </c>
      <c r="F21" s="24">
        <v>15313.5</v>
      </c>
      <c r="G21" s="22" t="s">
        <v>58</v>
      </c>
      <c r="H21" s="22" t="s">
        <v>59</v>
      </c>
      <c r="I21" s="22" t="s">
        <v>60</v>
      </c>
    </row>
    <row r="22" ht="15.75" customHeight="1">
      <c r="A22" s="22" t="s">
        <v>75</v>
      </c>
      <c r="B22" s="23">
        <v>46095.0</v>
      </c>
      <c r="C22" s="22" t="s">
        <v>48</v>
      </c>
      <c r="D22" s="22" t="s">
        <v>10</v>
      </c>
      <c r="E22" s="22" t="s">
        <v>57</v>
      </c>
      <c r="F22" s="24">
        <v>14739.0</v>
      </c>
      <c r="G22" s="22" t="s">
        <v>58</v>
      </c>
      <c r="H22" s="22" t="s">
        <v>59</v>
      </c>
      <c r="I22" s="22" t="s">
        <v>60</v>
      </c>
    </row>
    <row r="23" ht="15.75" customHeight="1">
      <c r="A23" s="22" t="s">
        <v>76</v>
      </c>
      <c r="B23" s="23">
        <v>46106.0</v>
      </c>
      <c r="C23" s="22" t="s">
        <v>48</v>
      </c>
      <c r="D23" s="22" t="s">
        <v>10</v>
      </c>
      <c r="E23" s="22" t="s">
        <v>57</v>
      </c>
      <c r="F23" s="24">
        <v>13702.0</v>
      </c>
      <c r="G23" s="22" t="s">
        <v>58</v>
      </c>
      <c r="H23" s="22" t="s">
        <v>59</v>
      </c>
      <c r="I23" s="22" t="s">
        <v>60</v>
      </c>
    </row>
    <row r="24" ht="15.75" customHeight="1">
      <c r="A24" s="22" t="s">
        <v>77</v>
      </c>
      <c r="B24" s="23">
        <v>46084.0</v>
      </c>
      <c r="C24" s="22" t="s">
        <v>48</v>
      </c>
      <c r="D24" s="22" t="s">
        <v>10</v>
      </c>
      <c r="E24" s="22" t="s">
        <v>57</v>
      </c>
      <c r="F24" s="24">
        <v>13226.0</v>
      </c>
      <c r="G24" s="22" t="s">
        <v>58</v>
      </c>
      <c r="H24" s="22" t="s">
        <v>59</v>
      </c>
      <c r="I24" s="22" t="s">
        <v>60</v>
      </c>
    </row>
    <row r="25" ht="15.75" customHeight="1">
      <c r="A25" s="22" t="s">
        <v>78</v>
      </c>
      <c r="B25" s="23">
        <v>46094.0</v>
      </c>
      <c r="C25" s="22" t="s">
        <v>38</v>
      </c>
      <c r="D25" s="22" t="s">
        <v>10</v>
      </c>
      <c r="E25" s="22" t="s">
        <v>57</v>
      </c>
      <c r="F25" s="24">
        <v>12691.9</v>
      </c>
      <c r="G25" s="22" t="s">
        <v>58</v>
      </c>
      <c r="H25" s="22" t="s">
        <v>59</v>
      </c>
      <c r="I25" s="22" t="s">
        <v>60</v>
      </c>
    </row>
    <row r="26" ht="15.75" customHeight="1">
      <c r="A26" s="22" t="s">
        <v>79</v>
      </c>
      <c r="B26" s="23">
        <v>46102.0</v>
      </c>
      <c r="C26" s="22" t="s">
        <v>48</v>
      </c>
      <c r="D26" s="22" t="s">
        <v>10</v>
      </c>
      <c r="E26" s="22" t="s">
        <v>57</v>
      </c>
      <c r="F26" s="24">
        <v>11968.0</v>
      </c>
      <c r="G26" s="22" t="s">
        <v>58</v>
      </c>
      <c r="H26" s="22" t="s">
        <v>59</v>
      </c>
      <c r="I26" s="22" t="s">
        <v>60</v>
      </c>
    </row>
    <row r="27" ht="15.75" customHeight="1">
      <c r="A27" s="22" t="s">
        <v>80</v>
      </c>
      <c r="B27" s="23">
        <v>46097.0</v>
      </c>
      <c r="C27" s="22" t="s">
        <v>48</v>
      </c>
      <c r="D27" s="22" t="s">
        <v>10</v>
      </c>
      <c r="E27" s="22" t="s">
        <v>57</v>
      </c>
      <c r="F27" s="24">
        <v>10914.0</v>
      </c>
      <c r="G27" s="22" t="s">
        <v>58</v>
      </c>
      <c r="H27" s="22" t="s">
        <v>59</v>
      </c>
      <c r="I27" s="22" t="s">
        <v>60</v>
      </c>
    </row>
    <row r="28" ht="15.75" customHeight="1">
      <c r="A28" s="22" t="s">
        <v>81</v>
      </c>
      <c r="B28" s="23">
        <v>46101.0</v>
      </c>
      <c r="C28" s="22" t="s">
        <v>38</v>
      </c>
      <c r="D28" s="22" t="s">
        <v>10</v>
      </c>
      <c r="E28" s="22" t="s">
        <v>57</v>
      </c>
      <c r="F28" s="24">
        <v>9987.9</v>
      </c>
      <c r="G28" s="22" t="s">
        <v>58</v>
      </c>
      <c r="H28" s="22" t="s">
        <v>59</v>
      </c>
      <c r="I28" s="22" t="s">
        <v>60</v>
      </c>
    </row>
    <row r="29" ht="15.75" customHeight="1">
      <c r="A29" s="22" t="s">
        <v>82</v>
      </c>
      <c r="B29" s="23">
        <v>46108.0</v>
      </c>
      <c r="C29" s="22" t="s">
        <v>56</v>
      </c>
      <c r="D29" s="22" t="s">
        <v>10</v>
      </c>
      <c r="E29" s="22" t="s">
        <v>57</v>
      </c>
      <c r="F29" s="24">
        <v>9676.0</v>
      </c>
      <c r="G29" s="22" t="s">
        <v>58</v>
      </c>
      <c r="H29" s="22" t="s">
        <v>59</v>
      </c>
      <c r="I29" s="22" t="s">
        <v>60</v>
      </c>
    </row>
    <row r="30" ht="15.75" customHeight="1">
      <c r="A30" s="22" t="s">
        <v>85</v>
      </c>
      <c r="B30" s="23">
        <v>46108.0</v>
      </c>
      <c r="C30" s="22" t="s">
        <v>56</v>
      </c>
      <c r="D30" s="22" t="s">
        <v>10</v>
      </c>
      <c r="E30" s="22" t="s">
        <v>57</v>
      </c>
      <c r="F30" s="24">
        <v>9594.0</v>
      </c>
      <c r="G30" s="22" t="s">
        <v>58</v>
      </c>
      <c r="H30" s="22" t="s">
        <v>59</v>
      </c>
      <c r="I30" s="22" t="s">
        <v>60</v>
      </c>
    </row>
    <row r="31" ht="15.75" customHeight="1">
      <c r="A31" s="22" t="s">
        <v>86</v>
      </c>
      <c r="B31" s="23">
        <v>46101.0</v>
      </c>
      <c r="C31" s="22" t="s">
        <v>38</v>
      </c>
      <c r="D31" s="22" t="s">
        <v>10</v>
      </c>
      <c r="E31" s="22" t="s">
        <v>57</v>
      </c>
      <c r="F31" s="24">
        <v>8619.0</v>
      </c>
      <c r="G31" s="22" t="s">
        <v>58</v>
      </c>
      <c r="H31" s="22" t="s">
        <v>59</v>
      </c>
      <c r="I31" s="22" t="s">
        <v>60</v>
      </c>
    </row>
    <row r="32" ht="15.75" customHeight="1">
      <c r="A32" s="22" t="s">
        <v>87</v>
      </c>
      <c r="B32" s="23">
        <v>46087.0</v>
      </c>
      <c r="C32" s="22" t="s">
        <v>48</v>
      </c>
      <c r="D32" s="22" t="s">
        <v>10</v>
      </c>
      <c r="E32" s="22" t="s">
        <v>57</v>
      </c>
      <c r="F32" s="24">
        <v>8245.0</v>
      </c>
      <c r="G32" s="22" t="s">
        <v>58</v>
      </c>
      <c r="H32" s="22" t="s">
        <v>59</v>
      </c>
      <c r="I32" s="22" t="s">
        <v>60</v>
      </c>
    </row>
    <row r="33" ht="15.75" customHeight="1">
      <c r="A33" s="22" t="s">
        <v>88</v>
      </c>
      <c r="B33" s="23">
        <v>46085.0</v>
      </c>
      <c r="C33" s="22" t="s">
        <v>38</v>
      </c>
      <c r="D33" s="22" t="s">
        <v>10</v>
      </c>
      <c r="E33" s="22" t="s">
        <v>57</v>
      </c>
      <c r="F33" s="24">
        <v>7621.9</v>
      </c>
      <c r="G33" s="22" t="s">
        <v>58</v>
      </c>
      <c r="H33" s="22" t="s">
        <v>59</v>
      </c>
      <c r="I33" s="22" t="s">
        <v>60</v>
      </c>
    </row>
    <row r="34" ht="15.75" customHeight="1">
      <c r="A34" s="22" t="s">
        <v>89</v>
      </c>
      <c r="B34" s="23">
        <v>46098.0</v>
      </c>
      <c r="C34" s="22" t="s">
        <v>38</v>
      </c>
      <c r="D34" s="22" t="s">
        <v>10</v>
      </c>
      <c r="E34" s="22" t="s">
        <v>57</v>
      </c>
      <c r="F34" s="24">
        <v>6979.7</v>
      </c>
      <c r="G34" s="22" t="s">
        <v>58</v>
      </c>
      <c r="H34" s="22" t="s">
        <v>59</v>
      </c>
      <c r="I34" s="22" t="s">
        <v>60</v>
      </c>
    </row>
    <row r="35" ht="15.75" customHeight="1">
      <c r="A35" s="22" t="s">
        <v>90</v>
      </c>
      <c r="B35" s="23">
        <v>46110.0</v>
      </c>
      <c r="C35" s="22" t="s">
        <v>48</v>
      </c>
      <c r="D35" s="22" t="s">
        <v>10</v>
      </c>
      <c r="E35" s="22" t="s">
        <v>57</v>
      </c>
      <c r="F35" s="24">
        <v>6817.0</v>
      </c>
      <c r="G35" s="22" t="s">
        <v>58</v>
      </c>
      <c r="H35" s="22" t="s">
        <v>59</v>
      </c>
      <c r="I35" s="22" t="s">
        <v>60</v>
      </c>
    </row>
    <row r="36" ht="15.75" customHeight="1">
      <c r="A36" s="22" t="s">
        <v>91</v>
      </c>
      <c r="B36" s="23">
        <v>46089.0</v>
      </c>
      <c r="C36" s="22" t="s">
        <v>56</v>
      </c>
      <c r="D36" s="22" t="s">
        <v>10</v>
      </c>
      <c r="E36" s="22" t="s">
        <v>57</v>
      </c>
      <c r="F36" s="24">
        <v>6519.0</v>
      </c>
      <c r="G36" s="22" t="s">
        <v>58</v>
      </c>
      <c r="H36" s="22" t="s">
        <v>59</v>
      </c>
      <c r="I36" s="22" t="s">
        <v>60</v>
      </c>
    </row>
    <row r="37" ht="15.75" customHeight="1">
      <c r="A37" s="22" t="s">
        <v>92</v>
      </c>
      <c r="B37" s="23">
        <v>46092.0</v>
      </c>
      <c r="C37" s="22" t="s">
        <v>38</v>
      </c>
      <c r="D37" s="22" t="s">
        <v>10</v>
      </c>
      <c r="E37" s="22" t="s">
        <v>57</v>
      </c>
      <c r="F37" s="24">
        <v>5847.4</v>
      </c>
      <c r="G37" s="22" t="s">
        <v>58</v>
      </c>
      <c r="H37" s="22" t="s">
        <v>59</v>
      </c>
      <c r="I37" s="22" t="s">
        <v>60</v>
      </c>
    </row>
    <row r="38" ht="15.75" customHeight="1">
      <c r="A38" s="22" t="s">
        <v>93</v>
      </c>
      <c r="B38" s="23">
        <v>46108.0</v>
      </c>
      <c r="C38" s="22" t="s">
        <v>38</v>
      </c>
      <c r="D38" s="22" t="s">
        <v>10</v>
      </c>
      <c r="E38" s="22" t="s">
        <v>57</v>
      </c>
      <c r="F38" s="24">
        <v>5610.8</v>
      </c>
      <c r="G38" s="22" t="s">
        <v>58</v>
      </c>
      <c r="H38" s="22" t="s">
        <v>59</v>
      </c>
      <c r="I38" s="22" t="s">
        <v>60</v>
      </c>
    </row>
    <row r="39" ht="15.75" customHeight="1">
      <c r="A39" s="22" t="s">
        <v>94</v>
      </c>
      <c r="B39" s="23">
        <v>46098.0</v>
      </c>
      <c r="C39" s="22" t="s">
        <v>38</v>
      </c>
      <c r="D39" s="22" t="s">
        <v>10</v>
      </c>
      <c r="E39" s="22" t="s">
        <v>57</v>
      </c>
      <c r="F39" s="24">
        <v>4613.7</v>
      </c>
      <c r="G39" s="22" t="s">
        <v>58</v>
      </c>
      <c r="H39" s="22" t="s">
        <v>59</v>
      </c>
      <c r="I39" s="22" t="s">
        <v>60</v>
      </c>
    </row>
    <row r="40" ht="15.75" customHeight="1">
      <c r="A40" s="22" t="s">
        <v>95</v>
      </c>
      <c r="B40" s="23">
        <v>46095.0</v>
      </c>
      <c r="C40" s="22" t="s">
        <v>38</v>
      </c>
      <c r="D40" s="22" t="s">
        <v>10</v>
      </c>
      <c r="E40" s="22" t="s">
        <v>57</v>
      </c>
      <c r="F40" s="24">
        <v>4563.0</v>
      </c>
      <c r="G40" s="22" t="s">
        <v>58</v>
      </c>
      <c r="H40" s="22" t="s">
        <v>59</v>
      </c>
      <c r="I40" s="22" t="s">
        <v>60</v>
      </c>
    </row>
    <row r="41" ht="15.75" customHeight="1">
      <c r="A41" s="22" t="s">
        <v>96</v>
      </c>
      <c r="B41" s="23">
        <v>46100.0</v>
      </c>
      <c r="C41" s="22" t="s">
        <v>48</v>
      </c>
      <c r="D41" s="22" t="s">
        <v>10</v>
      </c>
      <c r="E41" s="22" t="s">
        <v>57</v>
      </c>
      <c r="F41" s="24">
        <v>4114.0</v>
      </c>
      <c r="G41" s="22" t="s">
        <v>58</v>
      </c>
      <c r="H41" s="22" t="s">
        <v>59</v>
      </c>
      <c r="I41" s="22" t="s">
        <v>60</v>
      </c>
    </row>
    <row r="42" ht="15.75" customHeight="1"/>
    <row r="43" ht="15.75" customHeight="1">
      <c r="A43" s="27" t="s">
        <v>97</v>
      </c>
      <c r="F43" s="28">
        <f>SUM(F2:F41)</f>
        <v>1658857.97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B8D2570-DE6F-41D8-9BC6-E7F889BD1349}" filter="1" showAutoFilter="1">
      <autoFilter ref="$A$1:$I$41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6" width="14.43"/>
  </cols>
  <sheetData>
    <row r="1"/>
    <row r="2"/>
    <row r="3"/>
    <row r="4"/>
    <row r="5"/>
    <row r="6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1.0"/>
    <col customWidth="1" min="3" max="3" width="18.0"/>
    <col customWidth="1" min="4" max="4" width="25.0"/>
    <col customWidth="1" min="5" max="5" width="15.0"/>
    <col customWidth="1" min="6" max="6" width="21.0"/>
    <col customWidth="1" min="7" max="7" width="19.0"/>
    <col customWidth="1" min="8" max="8" width="15.0"/>
    <col customWidth="1" min="9" max="9" width="20.0"/>
    <col customWidth="1" min="10" max="10" width="12.0"/>
    <col customWidth="1" min="11" max="11" width="19.0"/>
    <col customWidth="1" min="12" max="12" width="16.0"/>
    <col customWidth="1" min="13" max="13" width="9.0"/>
  </cols>
  <sheetData>
    <row r="1">
      <c r="A1" s="21" t="s">
        <v>29</v>
      </c>
      <c r="B1" s="21" t="s">
        <v>30</v>
      </c>
      <c r="C1" s="21" t="s">
        <v>31</v>
      </c>
      <c r="D1" s="21" t="s">
        <v>9</v>
      </c>
      <c r="E1" s="21" t="s">
        <v>98</v>
      </c>
      <c r="F1" s="21" t="s">
        <v>99</v>
      </c>
      <c r="G1" s="21" t="s">
        <v>100</v>
      </c>
      <c r="H1" s="21" t="s">
        <v>101</v>
      </c>
      <c r="I1" s="21" t="s">
        <v>102</v>
      </c>
      <c r="J1" s="21" t="s">
        <v>103</v>
      </c>
      <c r="K1" s="21" t="s">
        <v>104</v>
      </c>
      <c r="L1" s="21" t="s">
        <v>105</v>
      </c>
      <c r="M1" s="21" t="s">
        <v>106</v>
      </c>
    </row>
    <row r="2">
      <c r="A2" s="22" t="s">
        <v>107</v>
      </c>
      <c r="B2" s="23">
        <v>45901.0</v>
      </c>
      <c r="C2" s="22" t="s">
        <v>48</v>
      </c>
      <c r="D2" s="22" t="s">
        <v>108</v>
      </c>
      <c r="E2" s="29">
        <v>249.0</v>
      </c>
      <c r="F2" s="24">
        <v>1300.0</v>
      </c>
      <c r="G2" s="24">
        <v>1300.0</v>
      </c>
      <c r="H2" s="24">
        <v>323700.0</v>
      </c>
      <c r="I2" s="24">
        <v>7348.76</v>
      </c>
      <c r="J2" s="24">
        <v>2485.94</v>
      </c>
      <c r="K2" s="22" t="s">
        <v>109</v>
      </c>
      <c r="L2" s="29">
        <v>3.0</v>
      </c>
      <c r="M2" s="22" t="s">
        <v>110</v>
      </c>
    </row>
    <row r="3">
      <c r="A3" s="22" t="s">
        <v>111</v>
      </c>
      <c r="B3" s="23">
        <v>45901.0</v>
      </c>
      <c r="C3" s="22" t="s">
        <v>38</v>
      </c>
      <c r="D3" s="22" t="s">
        <v>108</v>
      </c>
      <c r="E3" s="29">
        <v>191.0</v>
      </c>
      <c r="F3" s="24">
        <v>1290.0</v>
      </c>
      <c r="G3" s="24">
        <v>1290.0</v>
      </c>
      <c r="H3" s="24">
        <v>246390.0</v>
      </c>
      <c r="I3" s="24">
        <v>13054.54</v>
      </c>
      <c r="J3" s="24">
        <v>4225.84</v>
      </c>
      <c r="K3" s="22" t="s">
        <v>112</v>
      </c>
      <c r="L3" s="29">
        <v>2.0</v>
      </c>
      <c r="M3" s="22" t="s">
        <v>110</v>
      </c>
    </row>
    <row r="4">
      <c r="A4" s="22" t="s">
        <v>113</v>
      </c>
      <c r="B4" s="23">
        <v>45902.0</v>
      </c>
      <c r="C4" s="22" t="s">
        <v>48</v>
      </c>
      <c r="D4" s="22" t="s">
        <v>49</v>
      </c>
      <c r="E4" s="29">
        <v>306.0</v>
      </c>
      <c r="F4" s="24">
        <v>240.0</v>
      </c>
      <c r="G4" s="24">
        <v>240.0</v>
      </c>
      <c r="H4" s="24">
        <v>73440.0</v>
      </c>
      <c r="I4" s="24">
        <v>1305.11</v>
      </c>
      <c r="J4" s="24">
        <v>1187.69</v>
      </c>
      <c r="K4" s="22" t="s">
        <v>114</v>
      </c>
      <c r="L4" s="29">
        <v>17.0</v>
      </c>
      <c r="M4" s="22" t="s">
        <v>110</v>
      </c>
    </row>
    <row r="5">
      <c r="A5" s="22" t="s">
        <v>115</v>
      </c>
      <c r="B5" s="23">
        <v>45902.0</v>
      </c>
      <c r="C5" s="22" t="s">
        <v>38</v>
      </c>
      <c r="D5" s="22" t="s">
        <v>49</v>
      </c>
      <c r="E5" s="29">
        <v>412.0</v>
      </c>
      <c r="F5" s="24">
        <v>235.0</v>
      </c>
      <c r="G5" s="24">
        <v>235.0</v>
      </c>
      <c r="H5" s="24">
        <v>96820.0</v>
      </c>
      <c r="I5" s="24">
        <v>6982.12</v>
      </c>
      <c r="J5" s="24">
        <v>0.0</v>
      </c>
      <c r="K5" s="22" t="s">
        <v>116</v>
      </c>
      <c r="L5" s="29">
        <v>14.0</v>
      </c>
      <c r="M5" s="22" t="s">
        <v>110</v>
      </c>
    </row>
    <row r="6">
      <c r="A6" s="22" t="s">
        <v>117</v>
      </c>
      <c r="B6" s="23">
        <v>45903.0</v>
      </c>
      <c r="C6" s="22" t="s">
        <v>38</v>
      </c>
      <c r="D6" s="22" t="s">
        <v>108</v>
      </c>
      <c r="E6" s="29">
        <v>387.0</v>
      </c>
      <c r="F6" s="24">
        <v>1290.0</v>
      </c>
      <c r="G6" s="24">
        <v>1290.0</v>
      </c>
      <c r="H6" s="24">
        <v>499230.0</v>
      </c>
      <c r="I6" s="24">
        <v>23958.74</v>
      </c>
      <c r="J6" s="24">
        <v>4057.8</v>
      </c>
      <c r="K6" s="22" t="s">
        <v>114</v>
      </c>
      <c r="L6" s="29">
        <v>7.0</v>
      </c>
      <c r="M6" s="22" t="s">
        <v>110</v>
      </c>
    </row>
    <row r="7">
      <c r="A7" s="22" t="s">
        <v>118</v>
      </c>
      <c r="B7" s="23">
        <v>45903.0</v>
      </c>
      <c r="C7" s="22" t="s">
        <v>48</v>
      </c>
      <c r="D7" s="22" t="s">
        <v>108</v>
      </c>
      <c r="E7" s="29">
        <v>357.0</v>
      </c>
      <c r="F7" s="24">
        <v>1300.0</v>
      </c>
      <c r="G7" s="24">
        <v>1300.0</v>
      </c>
      <c r="H7" s="24">
        <v>464100.0</v>
      </c>
      <c r="I7" s="24">
        <v>9994.63</v>
      </c>
      <c r="J7" s="24">
        <v>0.0</v>
      </c>
      <c r="K7" s="22" t="s">
        <v>116</v>
      </c>
      <c r="L7" s="29">
        <v>6.0</v>
      </c>
      <c r="M7" s="22" t="s">
        <v>110</v>
      </c>
    </row>
    <row r="8">
      <c r="A8" s="22" t="s">
        <v>122</v>
      </c>
      <c r="B8" s="23">
        <v>45903.0</v>
      </c>
      <c r="C8" s="22" t="s">
        <v>38</v>
      </c>
      <c r="D8" s="22" t="s">
        <v>49</v>
      </c>
      <c r="E8" s="29">
        <v>307.0</v>
      </c>
      <c r="F8" s="24">
        <v>235.0</v>
      </c>
      <c r="G8" s="24">
        <v>235.0</v>
      </c>
      <c r="H8" s="24">
        <v>72145.0</v>
      </c>
      <c r="I8" s="24">
        <v>2738.63</v>
      </c>
      <c r="J8" s="24">
        <v>0.0</v>
      </c>
      <c r="K8" s="22" t="s">
        <v>116</v>
      </c>
      <c r="L8" s="29">
        <v>11.0</v>
      </c>
      <c r="M8" s="22" t="s">
        <v>110</v>
      </c>
    </row>
    <row r="9">
      <c r="A9" s="22" t="s">
        <v>123</v>
      </c>
      <c r="B9" s="23">
        <v>45904.0</v>
      </c>
      <c r="C9" s="22" t="s">
        <v>56</v>
      </c>
      <c r="D9" s="22" t="s">
        <v>10</v>
      </c>
      <c r="E9" s="29">
        <v>132.0</v>
      </c>
      <c r="F9" s="24">
        <v>820.0</v>
      </c>
      <c r="G9" s="24">
        <v>820.0</v>
      </c>
      <c r="H9" s="24">
        <v>108240.0</v>
      </c>
      <c r="I9" s="24">
        <v>1467.46</v>
      </c>
      <c r="J9" s="24">
        <v>0.0</v>
      </c>
      <c r="K9" s="22" t="s">
        <v>116</v>
      </c>
      <c r="L9" s="29">
        <v>1.0</v>
      </c>
      <c r="M9" s="22" t="s">
        <v>110</v>
      </c>
    </row>
    <row r="10">
      <c r="A10" s="22" t="s">
        <v>124</v>
      </c>
      <c r="B10" s="23">
        <v>45904.0</v>
      </c>
      <c r="C10" s="22" t="s">
        <v>48</v>
      </c>
      <c r="D10" s="22" t="s">
        <v>49</v>
      </c>
      <c r="E10" s="29">
        <v>295.0</v>
      </c>
      <c r="F10" s="24">
        <v>240.0</v>
      </c>
      <c r="G10" s="24">
        <v>240.0</v>
      </c>
      <c r="H10" s="24">
        <v>70800.0</v>
      </c>
      <c r="I10" s="24">
        <v>1763.7</v>
      </c>
      <c r="J10" s="24">
        <v>914.99</v>
      </c>
      <c r="K10" s="22" t="s">
        <v>112</v>
      </c>
      <c r="L10" s="29">
        <v>10.0</v>
      </c>
      <c r="M10" s="22" t="s">
        <v>110</v>
      </c>
    </row>
    <row r="11">
      <c r="A11" s="22" t="s">
        <v>125</v>
      </c>
      <c r="B11" s="23">
        <v>45905.0</v>
      </c>
      <c r="C11" s="22" t="s">
        <v>48</v>
      </c>
      <c r="D11" s="22" t="s">
        <v>49</v>
      </c>
      <c r="E11" s="29">
        <v>458.0</v>
      </c>
      <c r="F11" s="24">
        <v>240.0</v>
      </c>
      <c r="G11" s="24">
        <v>240.0</v>
      </c>
      <c r="H11" s="24">
        <v>109920.0</v>
      </c>
      <c r="I11" s="24">
        <v>6479.75</v>
      </c>
      <c r="J11" s="24">
        <v>0.0</v>
      </c>
      <c r="K11" s="22" t="s">
        <v>116</v>
      </c>
      <c r="L11" s="29">
        <v>15.0</v>
      </c>
      <c r="M11" s="22" t="s">
        <v>110</v>
      </c>
    </row>
    <row r="12">
      <c r="A12" s="22" t="s">
        <v>126</v>
      </c>
      <c r="B12" s="23">
        <v>45906.0</v>
      </c>
      <c r="C12" s="22" t="s">
        <v>48</v>
      </c>
      <c r="D12" s="22" t="s">
        <v>108</v>
      </c>
      <c r="E12" s="29">
        <v>244.0</v>
      </c>
      <c r="F12" s="24">
        <v>1300.0</v>
      </c>
      <c r="G12" s="24">
        <v>1300.0</v>
      </c>
      <c r="H12" s="24">
        <v>317200.0</v>
      </c>
      <c r="I12" s="24">
        <v>13592.02</v>
      </c>
      <c r="J12" s="24">
        <v>5364.15</v>
      </c>
      <c r="K12" s="22" t="s">
        <v>112</v>
      </c>
      <c r="L12" s="29">
        <v>6.0</v>
      </c>
      <c r="M12" s="22" t="s">
        <v>110</v>
      </c>
    </row>
    <row r="13">
      <c r="A13" s="22" t="s">
        <v>127</v>
      </c>
      <c r="B13" s="23">
        <v>45907.0</v>
      </c>
      <c r="C13" s="22" t="s">
        <v>48</v>
      </c>
      <c r="D13" s="22" t="s">
        <v>108</v>
      </c>
      <c r="E13" s="29">
        <v>372.0</v>
      </c>
      <c r="F13" s="24">
        <v>1300.0</v>
      </c>
      <c r="G13" s="24">
        <v>1300.0</v>
      </c>
      <c r="H13" s="24">
        <v>483600.0</v>
      </c>
      <c r="I13" s="24">
        <v>21189.86</v>
      </c>
      <c r="J13" s="24">
        <v>0.0</v>
      </c>
      <c r="K13" s="22" t="s">
        <v>116</v>
      </c>
      <c r="L13" s="29">
        <v>4.0</v>
      </c>
      <c r="M13" s="22" t="s">
        <v>110</v>
      </c>
    </row>
    <row r="14">
      <c r="A14" s="22" t="s">
        <v>128</v>
      </c>
      <c r="B14" s="23">
        <v>45907.0</v>
      </c>
      <c r="C14" s="22" t="s">
        <v>56</v>
      </c>
      <c r="D14" s="22" t="s">
        <v>49</v>
      </c>
      <c r="E14" s="29">
        <v>137.0</v>
      </c>
      <c r="F14" s="24">
        <v>230.0</v>
      </c>
      <c r="G14" s="24">
        <v>230.0</v>
      </c>
      <c r="H14" s="24">
        <v>31510.0</v>
      </c>
      <c r="I14" s="24">
        <v>1162.74</v>
      </c>
      <c r="J14" s="24">
        <v>296.55</v>
      </c>
      <c r="K14" s="22" t="s">
        <v>109</v>
      </c>
      <c r="L14" s="29">
        <v>5.0</v>
      </c>
      <c r="M14" s="22" t="s">
        <v>110</v>
      </c>
    </row>
    <row r="15">
      <c r="A15" s="22" t="s">
        <v>129</v>
      </c>
      <c r="B15" s="23">
        <v>45907.0</v>
      </c>
      <c r="C15" s="22" t="s">
        <v>38</v>
      </c>
      <c r="D15" s="22" t="s">
        <v>10</v>
      </c>
      <c r="E15" s="29">
        <v>267.0</v>
      </c>
      <c r="F15" s="24">
        <v>845.0</v>
      </c>
      <c r="G15" s="24">
        <v>845.0</v>
      </c>
      <c r="H15" s="24">
        <v>225615.0</v>
      </c>
      <c r="I15" s="24">
        <v>8102.42</v>
      </c>
      <c r="J15" s="24">
        <v>0.0</v>
      </c>
      <c r="K15" s="22" t="s">
        <v>116</v>
      </c>
      <c r="L15" s="29">
        <v>6.0</v>
      </c>
      <c r="M15" s="22" t="s">
        <v>110</v>
      </c>
    </row>
    <row r="16">
      <c r="A16" s="22" t="s">
        <v>130</v>
      </c>
      <c r="B16" s="23">
        <v>45908.0</v>
      </c>
      <c r="C16" s="22" t="s">
        <v>38</v>
      </c>
      <c r="D16" s="22" t="s">
        <v>10</v>
      </c>
      <c r="E16" s="29">
        <v>186.0</v>
      </c>
      <c r="F16" s="24">
        <v>845.0</v>
      </c>
      <c r="G16" s="24">
        <v>845.0</v>
      </c>
      <c r="H16" s="24">
        <v>157170.0</v>
      </c>
      <c r="I16" s="24">
        <v>10582.47</v>
      </c>
      <c r="J16" s="24">
        <v>0.0</v>
      </c>
      <c r="K16" s="22" t="s">
        <v>116</v>
      </c>
      <c r="L16" s="29">
        <v>0.0</v>
      </c>
      <c r="M16" s="22" t="s">
        <v>110</v>
      </c>
    </row>
    <row r="17">
      <c r="A17" s="22" t="s">
        <v>131</v>
      </c>
      <c r="B17" s="23">
        <v>45909.0</v>
      </c>
      <c r="C17" s="22" t="s">
        <v>48</v>
      </c>
      <c r="D17" s="22" t="s">
        <v>49</v>
      </c>
      <c r="E17" s="29">
        <v>582.0</v>
      </c>
      <c r="F17" s="24">
        <v>240.0</v>
      </c>
      <c r="G17" s="24">
        <v>240.0</v>
      </c>
      <c r="H17" s="24">
        <v>139680.0</v>
      </c>
      <c r="I17" s="24">
        <v>3085.04</v>
      </c>
      <c r="J17" s="24">
        <v>414.43</v>
      </c>
      <c r="K17" s="22" t="s">
        <v>112</v>
      </c>
      <c r="L17" s="29">
        <v>16.0</v>
      </c>
      <c r="M17" s="22" t="s">
        <v>110</v>
      </c>
    </row>
    <row r="18">
      <c r="A18" s="22" t="s">
        <v>132</v>
      </c>
      <c r="B18" s="23">
        <v>45909.0</v>
      </c>
      <c r="C18" s="22" t="s">
        <v>56</v>
      </c>
      <c r="D18" s="22" t="s">
        <v>10</v>
      </c>
      <c r="E18" s="29">
        <v>280.0</v>
      </c>
      <c r="F18" s="24">
        <v>820.0</v>
      </c>
      <c r="G18" s="24">
        <v>820.0</v>
      </c>
      <c r="H18" s="24">
        <v>229600.0</v>
      </c>
      <c r="I18" s="24">
        <v>4965.56</v>
      </c>
      <c r="J18" s="24">
        <v>2585.73</v>
      </c>
      <c r="K18" s="22" t="s">
        <v>133</v>
      </c>
      <c r="L18" s="29">
        <v>3.0</v>
      </c>
      <c r="M18" s="22" t="s">
        <v>110</v>
      </c>
    </row>
    <row r="19">
      <c r="A19" s="22" t="s">
        <v>134</v>
      </c>
      <c r="B19" s="23">
        <v>45909.0</v>
      </c>
      <c r="C19" s="22" t="s">
        <v>48</v>
      </c>
      <c r="D19" s="22" t="s">
        <v>49</v>
      </c>
      <c r="E19" s="29">
        <v>253.0</v>
      </c>
      <c r="F19" s="24">
        <v>240.0</v>
      </c>
      <c r="G19" s="24">
        <v>240.0</v>
      </c>
      <c r="H19" s="24">
        <v>60720.0</v>
      </c>
      <c r="I19" s="24">
        <v>3335.55</v>
      </c>
      <c r="J19" s="24">
        <v>176.17</v>
      </c>
      <c r="K19" s="22" t="s">
        <v>112</v>
      </c>
      <c r="L19" s="29">
        <v>10.0</v>
      </c>
      <c r="M19" s="22" t="s">
        <v>110</v>
      </c>
    </row>
    <row r="20">
      <c r="A20" s="22" t="s">
        <v>135</v>
      </c>
      <c r="B20" s="23">
        <v>45909.0</v>
      </c>
      <c r="C20" s="22" t="s">
        <v>48</v>
      </c>
      <c r="D20" s="22" t="s">
        <v>108</v>
      </c>
      <c r="E20" s="29">
        <v>171.0</v>
      </c>
      <c r="F20" s="24">
        <v>1300.0</v>
      </c>
      <c r="G20" s="24">
        <v>1300.0</v>
      </c>
      <c r="H20" s="24">
        <v>222300.0</v>
      </c>
      <c r="I20" s="24">
        <v>8454.89</v>
      </c>
      <c r="J20" s="24">
        <v>2688.87</v>
      </c>
      <c r="K20" s="22" t="s">
        <v>109</v>
      </c>
      <c r="L20" s="29">
        <v>9.0</v>
      </c>
      <c r="M20" s="22" t="s">
        <v>110</v>
      </c>
    </row>
    <row r="21" ht="15.75" customHeight="1">
      <c r="A21" s="22" t="s">
        <v>136</v>
      </c>
      <c r="B21" s="23">
        <v>45910.0</v>
      </c>
      <c r="C21" s="22" t="s">
        <v>38</v>
      </c>
      <c r="D21" s="22" t="s">
        <v>10</v>
      </c>
      <c r="E21" s="29">
        <v>329.0</v>
      </c>
      <c r="F21" s="24">
        <v>845.0</v>
      </c>
      <c r="G21" s="24">
        <v>845.0</v>
      </c>
      <c r="H21" s="24">
        <v>278005.0</v>
      </c>
      <c r="I21" s="24">
        <v>20493.56</v>
      </c>
      <c r="J21" s="24">
        <v>0.0</v>
      </c>
      <c r="K21" s="22" t="s">
        <v>116</v>
      </c>
      <c r="L21" s="29">
        <v>6.0</v>
      </c>
      <c r="M21" s="22" t="s">
        <v>110</v>
      </c>
    </row>
    <row r="22" ht="15.75" customHeight="1">
      <c r="A22" s="22" t="s">
        <v>137</v>
      </c>
      <c r="B22" s="23">
        <v>45911.0</v>
      </c>
      <c r="C22" s="22" t="s">
        <v>38</v>
      </c>
      <c r="D22" s="22" t="s">
        <v>10</v>
      </c>
      <c r="E22" s="29">
        <v>334.0</v>
      </c>
      <c r="F22" s="24">
        <v>845.0</v>
      </c>
      <c r="G22" s="24">
        <v>845.0</v>
      </c>
      <c r="H22" s="24">
        <v>282230.0</v>
      </c>
      <c r="I22" s="24">
        <v>11129.34</v>
      </c>
      <c r="J22" s="24">
        <v>4274.67</v>
      </c>
      <c r="K22" s="22" t="s">
        <v>112</v>
      </c>
      <c r="L22" s="29">
        <v>9.0</v>
      </c>
      <c r="M22" s="22" t="s">
        <v>110</v>
      </c>
    </row>
    <row r="23" ht="15.75" customHeight="1">
      <c r="A23" s="22" t="s">
        <v>138</v>
      </c>
      <c r="B23" s="23">
        <v>45911.0</v>
      </c>
      <c r="C23" s="22" t="s">
        <v>38</v>
      </c>
      <c r="D23" s="22" t="s">
        <v>10</v>
      </c>
      <c r="E23" s="29">
        <v>597.0</v>
      </c>
      <c r="F23" s="24">
        <v>845.0</v>
      </c>
      <c r="G23" s="24">
        <v>845.0</v>
      </c>
      <c r="H23" s="24">
        <v>504465.0</v>
      </c>
      <c r="I23" s="24">
        <v>32324.31</v>
      </c>
      <c r="J23" s="24">
        <v>8163.01</v>
      </c>
      <c r="K23" s="22" t="s">
        <v>133</v>
      </c>
      <c r="L23" s="29">
        <v>16.0</v>
      </c>
      <c r="M23" s="22" t="s">
        <v>110</v>
      </c>
    </row>
    <row r="24" ht="15.75" customHeight="1">
      <c r="A24" s="22" t="s">
        <v>139</v>
      </c>
      <c r="B24" s="23">
        <v>45912.0</v>
      </c>
      <c r="C24" s="22" t="s">
        <v>48</v>
      </c>
      <c r="D24" s="22" t="s">
        <v>10</v>
      </c>
      <c r="E24" s="29">
        <v>302.0</v>
      </c>
      <c r="F24" s="24">
        <v>850.0</v>
      </c>
      <c r="G24" s="24">
        <v>850.0</v>
      </c>
      <c r="H24" s="24">
        <v>256700.0</v>
      </c>
      <c r="I24" s="24">
        <v>4869.81</v>
      </c>
      <c r="J24" s="24">
        <v>0.0</v>
      </c>
      <c r="K24" s="22" t="s">
        <v>116</v>
      </c>
      <c r="L24" s="29">
        <v>0.0</v>
      </c>
      <c r="M24" s="22" t="s">
        <v>110</v>
      </c>
    </row>
    <row r="25" ht="15.75" customHeight="1">
      <c r="A25" s="22" t="s">
        <v>140</v>
      </c>
      <c r="B25" s="23">
        <v>45912.0</v>
      </c>
      <c r="C25" s="22" t="s">
        <v>38</v>
      </c>
      <c r="D25" s="22" t="s">
        <v>49</v>
      </c>
      <c r="E25" s="29">
        <v>219.0</v>
      </c>
      <c r="F25" s="24">
        <v>235.0</v>
      </c>
      <c r="G25" s="24">
        <v>235.0</v>
      </c>
      <c r="H25" s="24">
        <v>51465.0</v>
      </c>
      <c r="I25" s="24">
        <v>2875.56</v>
      </c>
      <c r="J25" s="24">
        <v>198.45</v>
      </c>
      <c r="K25" s="22" t="s">
        <v>109</v>
      </c>
      <c r="L25" s="29">
        <v>4.0</v>
      </c>
      <c r="M25" s="22" t="s">
        <v>110</v>
      </c>
    </row>
    <row r="26" ht="15.75" customHeight="1">
      <c r="A26" s="22" t="s">
        <v>141</v>
      </c>
      <c r="B26" s="23">
        <v>45912.0</v>
      </c>
      <c r="C26" s="22" t="s">
        <v>56</v>
      </c>
      <c r="D26" s="22" t="s">
        <v>49</v>
      </c>
      <c r="E26" s="29">
        <v>208.0</v>
      </c>
      <c r="F26" s="24">
        <v>230.0</v>
      </c>
      <c r="G26" s="24">
        <v>230.0</v>
      </c>
      <c r="H26" s="24">
        <v>47840.0</v>
      </c>
      <c r="I26" s="24">
        <v>1556.14</v>
      </c>
      <c r="J26" s="24">
        <v>0.0</v>
      </c>
      <c r="K26" s="22" t="s">
        <v>116</v>
      </c>
      <c r="L26" s="29">
        <v>6.0</v>
      </c>
      <c r="M26" s="22" t="s">
        <v>110</v>
      </c>
    </row>
    <row r="27" ht="15.75" customHeight="1">
      <c r="A27" s="22" t="s">
        <v>142</v>
      </c>
      <c r="B27" s="23">
        <v>45913.0</v>
      </c>
      <c r="C27" s="22" t="s">
        <v>38</v>
      </c>
      <c r="D27" s="22" t="s">
        <v>10</v>
      </c>
      <c r="E27" s="29">
        <v>250.0</v>
      </c>
      <c r="F27" s="24">
        <v>845.0</v>
      </c>
      <c r="G27" s="24">
        <v>845.0</v>
      </c>
      <c r="H27" s="24">
        <v>211250.0</v>
      </c>
      <c r="I27" s="24">
        <v>10082.93</v>
      </c>
      <c r="J27" s="24">
        <v>1880.03</v>
      </c>
      <c r="K27" s="22" t="s">
        <v>133</v>
      </c>
      <c r="L27" s="29">
        <v>3.0</v>
      </c>
      <c r="M27" s="22" t="s">
        <v>110</v>
      </c>
    </row>
    <row r="28" ht="15.75" customHeight="1">
      <c r="A28" s="22" t="s">
        <v>143</v>
      </c>
      <c r="B28" s="23">
        <v>45913.0</v>
      </c>
      <c r="C28" s="22" t="s">
        <v>48</v>
      </c>
      <c r="D28" s="22" t="s">
        <v>49</v>
      </c>
      <c r="E28" s="29">
        <v>370.0</v>
      </c>
      <c r="F28" s="24">
        <v>240.0</v>
      </c>
      <c r="G28" s="24">
        <v>240.0</v>
      </c>
      <c r="H28" s="24">
        <v>88800.0</v>
      </c>
      <c r="I28" s="24">
        <v>1756.75</v>
      </c>
      <c r="J28" s="24">
        <v>0.0</v>
      </c>
      <c r="K28" s="22" t="s">
        <v>116</v>
      </c>
      <c r="L28" s="29">
        <v>8.0</v>
      </c>
      <c r="M28" s="22" t="s">
        <v>110</v>
      </c>
    </row>
    <row r="29" ht="15.75" customHeight="1">
      <c r="A29" s="22" t="s">
        <v>144</v>
      </c>
      <c r="B29" s="23">
        <v>45915.0</v>
      </c>
      <c r="C29" s="22" t="s">
        <v>56</v>
      </c>
      <c r="D29" s="22" t="s">
        <v>10</v>
      </c>
      <c r="E29" s="29">
        <v>435.0</v>
      </c>
      <c r="F29" s="24">
        <v>820.0</v>
      </c>
      <c r="G29" s="24">
        <v>820.0</v>
      </c>
      <c r="H29" s="24">
        <v>356700.0</v>
      </c>
      <c r="I29" s="24">
        <v>4912.94</v>
      </c>
      <c r="J29" s="24">
        <v>2117.38</v>
      </c>
      <c r="K29" s="22" t="s">
        <v>133</v>
      </c>
      <c r="L29" s="29">
        <v>10.0</v>
      </c>
      <c r="M29" s="22" t="s">
        <v>110</v>
      </c>
    </row>
    <row r="30" ht="15.75" customHeight="1">
      <c r="A30" s="22" t="s">
        <v>145</v>
      </c>
      <c r="B30" s="23">
        <v>45915.0</v>
      </c>
      <c r="C30" s="22" t="s">
        <v>56</v>
      </c>
      <c r="D30" s="22" t="s">
        <v>49</v>
      </c>
      <c r="E30" s="29">
        <v>56.0</v>
      </c>
      <c r="F30" s="24">
        <v>230.0</v>
      </c>
      <c r="G30" s="24">
        <v>230.0</v>
      </c>
      <c r="H30" s="24">
        <v>12880.0</v>
      </c>
      <c r="I30" s="24">
        <v>196.91</v>
      </c>
      <c r="J30" s="24">
        <v>0.0</v>
      </c>
      <c r="K30" s="22" t="s">
        <v>116</v>
      </c>
      <c r="L30" s="29">
        <v>2.0</v>
      </c>
      <c r="M30" s="22" t="s">
        <v>110</v>
      </c>
    </row>
    <row r="31" ht="15.75" customHeight="1">
      <c r="A31" s="22" t="s">
        <v>146</v>
      </c>
      <c r="B31" s="23">
        <v>45915.0</v>
      </c>
      <c r="C31" s="22" t="s">
        <v>48</v>
      </c>
      <c r="D31" s="22" t="s">
        <v>49</v>
      </c>
      <c r="E31" s="29">
        <v>135.0</v>
      </c>
      <c r="F31" s="24">
        <v>240.0</v>
      </c>
      <c r="G31" s="24">
        <v>240.0</v>
      </c>
      <c r="H31" s="24">
        <v>32400.0</v>
      </c>
      <c r="I31" s="24">
        <v>1303.78</v>
      </c>
      <c r="J31" s="24">
        <v>423.76</v>
      </c>
      <c r="K31" s="22" t="s">
        <v>133</v>
      </c>
      <c r="L31" s="29">
        <v>1.0</v>
      </c>
      <c r="M31" s="22" t="s">
        <v>110</v>
      </c>
    </row>
    <row r="32" ht="15.75" customHeight="1">
      <c r="A32" s="22" t="s">
        <v>147</v>
      </c>
      <c r="B32" s="23">
        <v>45915.0</v>
      </c>
      <c r="C32" s="22" t="s">
        <v>38</v>
      </c>
      <c r="D32" s="22" t="s">
        <v>108</v>
      </c>
      <c r="E32" s="29">
        <v>228.0</v>
      </c>
      <c r="F32" s="24">
        <v>1290.0</v>
      </c>
      <c r="G32" s="24">
        <v>1290.0</v>
      </c>
      <c r="H32" s="24">
        <v>294120.0</v>
      </c>
      <c r="I32" s="24">
        <v>12654.83</v>
      </c>
      <c r="J32" s="24">
        <v>4427.21</v>
      </c>
      <c r="K32" s="22" t="s">
        <v>109</v>
      </c>
      <c r="L32" s="29">
        <v>4.0</v>
      </c>
      <c r="M32" s="22" t="s">
        <v>110</v>
      </c>
    </row>
    <row r="33" ht="15.75" customHeight="1">
      <c r="A33" s="22" t="s">
        <v>148</v>
      </c>
      <c r="B33" s="23">
        <v>45916.0</v>
      </c>
      <c r="C33" s="22" t="s">
        <v>48</v>
      </c>
      <c r="D33" s="22" t="s">
        <v>10</v>
      </c>
      <c r="E33" s="29">
        <v>314.0</v>
      </c>
      <c r="F33" s="24">
        <v>850.0</v>
      </c>
      <c r="G33" s="24">
        <v>850.0</v>
      </c>
      <c r="H33" s="24">
        <v>266900.0</v>
      </c>
      <c r="I33" s="24">
        <v>7966.69</v>
      </c>
      <c r="J33" s="24">
        <v>3337.07</v>
      </c>
      <c r="K33" s="22" t="s">
        <v>112</v>
      </c>
      <c r="L33" s="29">
        <v>0.0</v>
      </c>
      <c r="M33" s="22" t="s">
        <v>110</v>
      </c>
    </row>
    <row r="34" ht="15.75" customHeight="1">
      <c r="A34" s="22" t="s">
        <v>149</v>
      </c>
      <c r="B34" s="23">
        <v>45916.0</v>
      </c>
      <c r="C34" s="22" t="s">
        <v>48</v>
      </c>
      <c r="D34" s="22" t="s">
        <v>49</v>
      </c>
      <c r="E34" s="29">
        <v>304.0</v>
      </c>
      <c r="F34" s="24">
        <v>240.0</v>
      </c>
      <c r="G34" s="24">
        <v>240.0</v>
      </c>
      <c r="H34" s="24">
        <v>72960.0</v>
      </c>
      <c r="I34" s="24">
        <v>1719.39</v>
      </c>
      <c r="J34" s="24">
        <v>655.86</v>
      </c>
      <c r="K34" s="22" t="s">
        <v>109</v>
      </c>
      <c r="L34" s="29">
        <v>9.0</v>
      </c>
      <c r="M34" s="22" t="s">
        <v>110</v>
      </c>
    </row>
    <row r="35" ht="15.75" customHeight="1">
      <c r="A35" s="22" t="s">
        <v>150</v>
      </c>
      <c r="B35" s="23">
        <v>45918.0</v>
      </c>
      <c r="C35" s="22" t="s">
        <v>56</v>
      </c>
      <c r="D35" s="22" t="s">
        <v>10</v>
      </c>
      <c r="E35" s="29">
        <v>780.0</v>
      </c>
      <c r="F35" s="24">
        <v>820.0</v>
      </c>
      <c r="G35" s="24">
        <v>820.0</v>
      </c>
      <c r="H35" s="24">
        <v>639600.0</v>
      </c>
      <c r="I35" s="24">
        <v>16699.13</v>
      </c>
      <c r="J35" s="24">
        <v>0.0</v>
      </c>
      <c r="K35" s="22" t="s">
        <v>116</v>
      </c>
      <c r="L35" s="29">
        <v>21.0</v>
      </c>
      <c r="M35" s="22" t="s">
        <v>110</v>
      </c>
    </row>
    <row r="36" ht="15.75" customHeight="1">
      <c r="A36" s="22" t="s">
        <v>151</v>
      </c>
      <c r="B36" s="23">
        <v>45918.0</v>
      </c>
      <c r="C36" s="22" t="s">
        <v>48</v>
      </c>
      <c r="D36" s="22" t="s">
        <v>10</v>
      </c>
      <c r="E36" s="29">
        <v>110.0</v>
      </c>
      <c r="F36" s="24">
        <v>850.0</v>
      </c>
      <c r="G36" s="24">
        <v>850.0</v>
      </c>
      <c r="H36" s="24">
        <v>93500.0</v>
      </c>
      <c r="I36" s="24">
        <v>3235.13</v>
      </c>
      <c r="J36" s="24">
        <v>0.0</v>
      </c>
      <c r="K36" s="22" t="s">
        <v>116</v>
      </c>
      <c r="L36" s="29">
        <v>1.0</v>
      </c>
      <c r="M36" s="22" t="s">
        <v>110</v>
      </c>
    </row>
    <row r="37" ht="15.75" customHeight="1">
      <c r="A37" s="22" t="s">
        <v>152</v>
      </c>
      <c r="B37" s="23">
        <v>45918.0</v>
      </c>
      <c r="C37" s="22" t="s">
        <v>56</v>
      </c>
      <c r="D37" s="22" t="s">
        <v>10</v>
      </c>
      <c r="E37" s="29">
        <v>159.0</v>
      </c>
      <c r="F37" s="24">
        <v>820.0</v>
      </c>
      <c r="G37" s="24">
        <v>820.0</v>
      </c>
      <c r="H37" s="24">
        <v>130380.0</v>
      </c>
      <c r="I37" s="24">
        <v>1501.97</v>
      </c>
      <c r="J37" s="24">
        <v>0.0</v>
      </c>
      <c r="K37" s="22" t="s">
        <v>116</v>
      </c>
      <c r="L37" s="29">
        <v>3.0</v>
      </c>
      <c r="M37" s="22" t="s">
        <v>110</v>
      </c>
    </row>
    <row r="38" ht="15.75" customHeight="1">
      <c r="A38" s="22" t="s">
        <v>153</v>
      </c>
      <c r="B38" s="23">
        <v>45919.0</v>
      </c>
      <c r="C38" s="22" t="s">
        <v>38</v>
      </c>
      <c r="D38" s="22" t="s">
        <v>10</v>
      </c>
      <c r="E38" s="29">
        <v>218.0</v>
      </c>
      <c r="F38" s="24">
        <v>845.0</v>
      </c>
      <c r="G38" s="24">
        <v>845.0</v>
      </c>
      <c r="H38" s="24">
        <v>184210.0</v>
      </c>
      <c r="I38" s="24">
        <v>13103.16</v>
      </c>
      <c r="J38" s="24">
        <v>0.0</v>
      </c>
      <c r="K38" s="22" t="s">
        <v>116</v>
      </c>
      <c r="L38" s="29">
        <v>2.0</v>
      </c>
      <c r="M38" s="22" t="s">
        <v>110</v>
      </c>
    </row>
    <row r="39" ht="15.75" customHeight="1">
      <c r="A39" s="22" t="s">
        <v>154</v>
      </c>
      <c r="B39" s="23">
        <v>45919.0</v>
      </c>
      <c r="C39" s="22" t="s">
        <v>48</v>
      </c>
      <c r="D39" s="22" t="s">
        <v>49</v>
      </c>
      <c r="E39" s="29">
        <v>119.0</v>
      </c>
      <c r="F39" s="24">
        <v>240.0</v>
      </c>
      <c r="G39" s="24">
        <v>240.0</v>
      </c>
      <c r="H39" s="24">
        <v>28560.0</v>
      </c>
      <c r="I39" s="24">
        <v>1528.1</v>
      </c>
      <c r="J39" s="24">
        <v>426.59</v>
      </c>
      <c r="K39" s="22" t="s">
        <v>114</v>
      </c>
      <c r="L39" s="29">
        <v>9.0</v>
      </c>
      <c r="M39" s="22" t="s">
        <v>110</v>
      </c>
    </row>
    <row r="40" ht="15.75" customHeight="1">
      <c r="A40" s="22" t="s">
        <v>155</v>
      </c>
      <c r="B40" s="23">
        <v>45920.0</v>
      </c>
      <c r="C40" s="22" t="s">
        <v>48</v>
      </c>
      <c r="D40" s="22" t="s">
        <v>108</v>
      </c>
      <c r="E40" s="29">
        <v>378.0</v>
      </c>
      <c r="F40" s="24">
        <v>1300.0</v>
      </c>
      <c r="G40" s="24">
        <v>1300.0</v>
      </c>
      <c r="H40" s="24">
        <v>491400.0</v>
      </c>
      <c r="I40" s="24">
        <v>28373.63</v>
      </c>
      <c r="J40" s="24">
        <v>7226.16</v>
      </c>
      <c r="K40" s="22" t="s">
        <v>114</v>
      </c>
      <c r="L40" s="29">
        <v>3.0</v>
      </c>
      <c r="M40" s="22" t="s">
        <v>110</v>
      </c>
    </row>
    <row r="41" ht="15.75" customHeight="1">
      <c r="A41" s="22" t="s">
        <v>156</v>
      </c>
      <c r="B41" s="23">
        <v>45921.0</v>
      </c>
      <c r="C41" s="22" t="s">
        <v>56</v>
      </c>
      <c r="D41" s="22" t="s">
        <v>108</v>
      </c>
      <c r="E41" s="29">
        <v>257.0</v>
      </c>
      <c r="F41" s="24">
        <v>1250.0</v>
      </c>
      <c r="G41" s="24">
        <v>1250.0</v>
      </c>
      <c r="H41" s="24">
        <v>321250.0</v>
      </c>
      <c r="I41" s="24">
        <v>6724.39</v>
      </c>
      <c r="J41" s="24">
        <v>773.76</v>
      </c>
      <c r="K41" s="22" t="s">
        <v>114</v>
      </c>
      <c r="L41" s="29">
        <v>3.0</v>
      </c>
      <c r="M41" s="22" t="s">
        <v>110</v>
      </c>
    </row>
    <row r="42" ht="15.75" customHeight="1">
      <c r="A42" s="22" t="s">
        <v>157</v>
      </c>
      <c r="B42" s="23">
        <v>45921.0</v>
      </c>
      <c r="C42" s="22" t="s">
        <v>48</v>
      </c>
      <c r="D42" s="22" t="s">
        <v>49</v>
      </c>
      <c r="E42" s="29">
        <v>134.0</v>
      </c>
      <c r="F42" s="24">
        <v>240.0</v>
      </c>
      <c r="G42" s="24">
        <v>240.0</v>
      </c>
      <c r="H42" s="24">
        <v>32160.0</v>
      </c>
      <c r="I42" s="24">
        <v>1022.1</v>
      </c>
      <c r="J42" s="24">
        <v>268.08</v>
      </c>
      <c r="K42" s="22" t="s">
        <v>133</v>
      </c>
      <c r="L42" s="29">
        <v>5.0</v>
      </c>
      <c r="M42" s="22" t="s">
        <v>110</v>
      </c>
    </row>
    <row r="43" ht="15.75" customHeight="1">
      <c r="A43" s="22" t="s">
        <v>158</v>
      </c>
      <c r="B43" s="23">
        <v>45921.0</v>
      </c>
      <c r="C43" s="22" t="s">
        <v>56</v>
      </c>
      <c r="D43" s="22" t="s">
        <v>49</v>
      </c>
      <c r="E43" s="29">
        <v>220.0</v>
      </c>
      <c r="F43" s="24">
        <v>230.0</v>
      </c>
      <c r="G43" s="24">
        <v>230.0</v>
      </c>
      <c r="H43" s="24">
        <v>50600.0</v>
      </c>
      <c r="I43" s="24">
        <v>964.17</v>
      </c>
      <c r="J43" s="24">
        <v>366.71</v>
      </c>
      <c r="K43" s="22" t="s">
        <v>133</v>
      </c>
      <c r="L43" s="29">
        <v>9.0</v>
      </c>
      <c r="M43" s="22" t="s">
        <v>110</v>
      </c>
    </row>
    <row r="44" ht="15.75" customHeight="1">
      <c r="A44" s="22" t="s">
        <v>159</v>
      </c>
      <c r="B44" s="23">
        <v>45921.0</v>
      </c>
      <c r="C44" s="22" t="s">
        <v>38</v>
      </c>
      <c r="D44" s="22" t="s">
        <v>10</v>
      </c>
      <c r="E44" s="29">
        <v>389.0</v>
      </c>
      <c r="F44" s="24">
        <v>845.0</v>
      </c>
      <c r="G44" s="24">
        <v>845.0</v>
      </c>
      <c r="H44" s="24">
        <v>328705.0</v>
      </c>
      <c r="I44" s="24">
        <v>13418.59</v>
      </c>
      <c r="J44" s="24">
        <v>0.0</v>
      </c>
      <c r="K44" s="22" t="s">
        <v>116</v>
      </c>
      <c r="L44" s="29">
        <v>5.0</v>
      </c>
      <c r="M44" s="22" t="s">
        <v>110</v>
      </c>
    </row>
    <row r="45" ht="15.75" customHeight="1">
      <c r="A45" s="22" t="s">
        <v>160</v>
      </c>
      <c r="B45" s="23">
        <v>45922.0</v>
      </c>
      <c r="C45" s="22" t="s">
        <v>38</v>
      </c>
      <c r="D45" s="22" t="s">
        <v>10</v>
      </c>
      <c r="E45" s="29">
        <v>394.0</v>
      </c>
      <c r="F45" s="24">
        <v>845.0</v>
      </c>
      <c r="G45" s="24">
        <v>845.0</v>
      </c>
      <c r="H45" s="24">
        <v>332930.0</v>
      </c>
      <c r="I45" s="24">
        <v>16961.78</v>
      </c>
      <c r="J45" s="24">
        <v>1789.89</v>
      </c>
      <c r="K45" s="22" t="s">
        <v>133</v>
      </c>
      <c r="L45" s="29">
        <v>10.0</v>
      </c>
      <c r="M45" s="22" t="s">
        <v>110</v>
      </c>
    </row>
    <row r="46" ht="15.75" customHeight="1">
      <c r="A46" s="22" t="s">
        <v>161</v>
      </c>
      <c r="B46" s="23">
        <v>45922.0</v>
      </c>
      <c r="C46" s="22" t="s">
        <v>56</v>
      </c>
      <c r="D46" s="22" t="s">
        <v>108</v>
      </c>
      <c r="E46" s="29">
        <v>349.0</v>
      </c>
      <c r="F46" s="24">
        <v>1250.0</v>
      </c>
      <c r="G46" s="24">
        <v>1250.0</v>
      </c>
      <c r="H46" s="24">
        <v>436250.0</v>
      </c>
      <c r="I46" s="24">
        <v>4993.25</v>
      </c>
      <c r="J46" s="24">
        <v>2319.69</v>
      </c>
      <c r="K46" s="22" t="s">
        <v>109</v>
      </c>
      <c r="L46" s="29">
        <v>7.0</v>
      </c>
      <c r="M46" s="22" t="s">
        <v>110</v>
      </c>
    </row>
    <row r="47" ht="15.75" customHeight="1">
      <c r="A47" s="22" t="s">
        <v>162</v>
      </c>
      <c r="B47" s="23">
        <v>45922.0</v>
      </c>
      <c r="C47" s="22" t="s">
        <v>48</v>
      </c>
      <c r="D47" s="22" t="s">
        <v>10</v>
      </c>
      <c r="E47" s="29">
        <v>646.0</v>
      </c>
      <c r="F47" s="24">
        <v>850.0</v>
      </c>
      <c r="G47" s="24">
        <v>850.0</v>
      </c>
      <c r="H47" s="24">
        <v>549100.0</v>
      </c>
      <c r="I47" s="24">
        <v>22379.88</v>
      </c>
      <c r="J47" s="24">
        <v>0.0</v>
      </c>
      <c r="K47" s="22" t="s">
        <v>116</v>
      </c>
      <c r="L47" s="29">
        <v>15.0</v>
      </c>
      <c r="M47" s="22" t="s">
        <v>110</v>
      </c>
    </row>
    <row r="48" ht="15.75" customHeight="1">
      <c r="A48" s="22" t="s">
        <v>163</v>
      </c>
      <c r="B48" s="23">
        <v>45922.0</v>
      </c>
      <c r="C48" s="22" t="s">
        <v>56</v>
      </c>
      <c r="D48" s="22" t="s">
        <v>108</v>
      </c>
      <c r="E48" s="29">
        <v>394.0</v>
      </c>
      <c r="F48" s="24">
        <v>1250.0</v>
      </c>
      <c r="G48" s="24">
        <v>1250.0</v>
      </c>
      <c r="H48" s="24">
        <v>492500.0</v>
      </c>
      <c r="I48" s="24">
        <v>4999.13</v>
      </c>
      <c r="J48" s="24">
        <v>2284.15</v>
      </c>
      <c r="K48" s="22" t="s">
        <v>112</v>
      </c>
      <c r="L48" s="29">
        <v>11.0</v>
      </c>
      <c r="M48" s="22" t="s">
        <v>110</v>
      </c>
    </row>
    <row r="49" ht="15.75" customHeight="1">
      <c r="A49" s="22" t="s">
        <v>164</v>
      </c>
      <c r="B49" s="23">
        <v>45923.0</v>
      </c>
      <c r="C49" s="22" t="s">
        <v>48</v>
      </c>
      <c r="D49" s="22" t="s">
        <v>108</v>
      </c>
      <c r="E49" s="29">
        <v>270.0</v>
      </c>
      <c r="F49" s="24">
        <v>1300.0</v>
      </c>
      <c r="G49" s="24">
        <v>1300.0</v>
      </c>
      <c r="H49" s="24">
        <v>351000.0</v>
      </c>
      <c r="I49" s="24">
        <v>8096.13</v>
      </c>
      <c r="J49" s="24">
        <v>3314.16</v>
      </c>
      <c r="K49" s="22" t="s">
        <v>109</v>
      </c>
      <c r="L49" s="29">
        <v>8.0</v>
      </c>
      <c r="M49" s="22" t="s">
        <v>110</v>
      </c>
    </row>
    <row r="50" ht="15.75" customHeight="1">
      <c r="A50" s="22" t="s">
        <v>165</v>
      </c>
      <c r="B50" s="23">
        <v>45924.0</v>
      </c>
      <c r="C50" s="22" t="s">
        <v>56</v>
      </c>
      <c r="D50" s="22" t="s">
        <v>49</v>
      </c>
      <c r="E50" s="29">
        <v>122.0</v>
      </c>
      <c r="F50" s="24">
        <v>230.0</v>
      </c>
      <c r="G50" s="24">
        <v>230.0</v>
      </c>
      <c r="H50" s="24">
        <v>28060.0</v>
      </c>
      <c r="I50" s="24">
        <v>739.17</v>
      </c>
      <c r="J50" s="24">
        <v>143.64</v>
      </c>
      <c r="K50" s="22" t="s">
        <v>114</v>
      </c>
      <c r="L50" s="29">
        <v>2.0</v>
      </c>
      <c r="M50" s="22" t="s">
        <v>110</v>
      </c>
    </row>
    <row r="51" ht="15.75" customHeight="1">
      <c r="A51" s="22" t="s">
        <v>166</v>
      </c>
      <c r="B51" s="23">
        <v>45924.0</v>
      </c>
      <c r="C51" s="22" t="s">
        <v>56</v>
      </c>
      <c r="D51" s="22" t="s">
        <v>108</v>
      </c>
      <c r="E51" s="29">
        <v>210.0</v>
      </c>
      <c r="F51" s="24">
        <v>1250.0</v>
      </c>
      <c r="G51" s="24">
        <v>1250.0</v>
      </c>
      <c r="H51" s="24">
        <v>262500.0</v>
      </c>
      <c r="I51" s="24">
        <v>9714.85</v>
      </c>
      <c r="J51" s="24">
        <v>1489.63</v>
      </c>
      <c r="K51" s="22" t="s">
        <v>112</v>
      </c>
      <c r="L51" s="29">
        <v>4.0</v>
      </c>
      <c r="M51" s="22" t="s">
        <v>110</v>
      </c>
    </row>
    <row r="52" ht="15.75" customHeight="1">
      <c r="A52" s="22" t="s">
        <v>167</v>
      </c>
      <c r="B52" s="23">
        <v>45924.0</v>
      </c>
      <c r="C52" s="22" t="s">
        <v>48</v>
      </c>
      <c r="D52" s="22" t="s">
        <v>49</v>
      </c>
      <c r="E52" s="29">
        <v>163.0</v>
      </c>
      <c r="F52" s="24">
        <v>240.0</v>
      </c>
      <c r="G52" s="24">
        <v>240.0</v>
      </c>
      <c r="H52" s="24">
        <v>39120.0</v>
      </c>
      <c r="I52" s="24">
        <v>1115.45</v>
      </c>
      <c r="J52" s="24">
        <v>0.0</v>
      </c>
      <c r="K52" s="22" t="s">
        <v>116</v>
      </c>
      <c r="L52" s="29">
        <v>7.0</v>
      </c>
      <c r="M52" s="22" t="s">
        <v>110</v>
      </c>
    </row>
    <row r="53" ht="15.75" customHeight="1">
      <c r="A53" s="22" t="s">
        <v>168</v>
      </c>
      <c r="B53" s="23">
        <v>45924.0</v>
      </c>
      <c r="C53" s="22" t="s">
        <v>48</v>
      </c>
      <c r="D53" s="22" t="s">
        <v>108</v>
      </c>
      <c r="E53" s="29">
        <v>100.0</v>
      </c>
      <c r="F53" s="24">
        <v>1300.0</v>
      </c>
      <c r="G53" s="24">
        <v>1300.0</v>
      </c>
      <c r="H53" s="24">
        <v>130000.0</v>
      </c>
      <c r="I53" s="24">
        <v>6027.53</v>
      </c>
      <c r="J53" s="24">
        <v>0.0</v>
      </c>
      <c r="K53" s="22" t="s">
        <v>116</v>
      </c>
      <c r="L53" s="29">
        <v>2.0</v>
      </c>
      <c r="M53" s="22" t="s">
        <v>110</v>
      </c>
    </row>
    <row r="54" ht="15.75" customHeight="1">
      <c r="A54" s="22" t="s">
        <v>169</v>
      </c>
      <c r="B54" s="23">
        <v>45925.0</v>
      </c>
      <c r="C54" s="22" t="s">
        <v>48</v>
      </c>
      <c r="D54" s="22" t="s">
        <v>49</v>
      </c>
      <c r="E54" s="29">
        <v>280.0</v>
      </c>
      <c r="F54" s="24">
        <v>240.0</v>
      </c>
      <c r="G54" s="24">
        <v>240.0</v>
      </c>
      <c r="H54" s="24">
        <v>67200.0</v>
      </c>
      <c r="I54" s="24">
        <v>2440.43</v>
      </c>
      <c r="J54" s="24">
        <v>312.05</v>
      </c>
      <c r="K54" s="22" t="s">
        <v>133</v>
      </c>
      <c r="L54" s="29">
        <v>5.0</v>
      </c>
      <c r="M54" s="22" t="s">
        <v>110</v>
      </c>
    </row>
    <row r="55" ht="15.75" customHeight="1">
      <c r="A55" s="22" t="s">
        <v>170</v>
      </c>
      <c r="B55" s="23">
        <v>45925.0</v>
      </c>
      <c r="C55" s="22" t="s">
        <v>48</v>
      </c>
      <c r="D55" s="22" t="s">
        <v>10</v>
      </c>
      <c r="E55" s="29">
        <v>128.0</v>
      </c>
      <c r="F55" s="24">
        <v>850.0</v>
      </c>
      <c r="G55" s="24">
        <v>850.0</v>
      </c>
      <c r="H55" s="24">
        <v>108800.0</v>
      </c>
      <c r="I55" s="24">
        <v>6275.81</v>
      </c>
      <c r="J55" s="24">
        <v>1605.07</v>
      </c>
      <c r="K55" s="22" t="s">
        <v>133</v>
      </c>
      <c r="L55" s="29">
        <v>1.0</v>
      </c>
      <c r="M55" s="22" t="s">
        <v>110</v>
      </c>
    </row>
    <row r="56" ht="15.75" customHeight="1">
      <c r="A56" s="22" t="s">
        <v>171</v>
      </c>
      <c r="B56" s="23">
        <v>45925.0</v>
      </c>
      <c r="C56" s="22" t="s">
        <v>38</v>
      </c>
      <c r="D56" s="22" t="s">
        <v>49</v>
      </c>
      <c r="E56" s="29">
        <v>215.0</v>
      </c>
      <c r="F56" s="24">
        <v>235.0</v>
      </c>
      <c r="G56" s="24">
        <v>235.0</v>
      </c>
      <c r="H56" s="24">
        <v>50525.0</v>
      </c>
      <c r="I56" s="24">
        <v>2202.71</v>
      </c>
      <c r="J56" s="24">
        <v>81.36</v>
      </c>
      <c r="K56" s="22" t="s">
        <v>112</v>
      </c>
      <c r="L56" s="29">
        <v>7.0</v>
      </c>
      <c r="M56" s="22" t="s">
        <v>110</v>
      </c>
    </row>
    <row r="57" ht="15.75" customHeight="1">
      <c r="A57" s="22" t="s">
        <v>172</v>
      </c>
      <c r="B57" s="23">
        <v>45925.0</v>
      </c>
      <c r="C57" s="22" t="s">
        <v>56</v>
      </c>
      <c r="D57" s="22" t="s">
        <v>49</v>
      </c>
      <c r="E57" s="29">
        <v>297.0</v>
      </c>
      <c r="F57" s="24">
        <v>230.0</v>
      </c>
      <c r="G57" s="24">
        <v>230.0</v>
      </c>
      <c r="H57" s="24">
        <v>68310.0</v>
      </c>
      <c r="I57" s="24">
        <v>2008.96</v>
      </c>
      <c r="J57" s="24">
        <v>0.0</v>
      </c>
      <c r="K57" s="22" t="s">
        <v>116</v>
      </c>
      <c r="L57" s="29">
        <v>15.0</v>
      </c>
      <c r="M57" s="22" t="s">
        <v>110</v>
      </c>
    </row>
    <row r="58" ht="15.75" customHeight="1">
      <c r="A58" s="22" t="s">
        <v>173</v>
      </c>
      <c r="B58" s="23">
        <v>45926.0</v>
      </c>
      <c r="C58" s="22" t="s">
        <v>48</v>
      </c>
      <c r="D58" s="22" t="s">
        <v>49</v>
      </c>
      <c r="E58" s="29">
        <v>112.0</v>
      </c>
      <c r="F58" s="24">
        <v>240.0</v>
      </c>
      <c r="G58" s="24">
        <v>240.0</v>
      </c>
      <c r="H58" s="24">
        <v>26880.0</v>
      </c>
      <c r="I58" s="24">
        <v>569.05</v>
      </c>
      <c r="J58" s="24">
        <v>0.0</v>
      </c>
      <c r="K58" s="22" t="s">
        <v>116</v>
      </c>
      <c r="L58" s="29">
        <v>5.0</v>
      </c>
      <c r="M58" s="22" t="s">
        <v>110</v>
      </c>
    </row>
    <row r="59" ht="15.75" customHeight="1">
      <c r="A59" s="22" t="s">
        <v>174</v>
      </c>
      <c r="B59" s="23">
        <v>45926.0</v>
      </c>
      <c r="C59" s="22" t="s">
        <v>48</v>
      </c>
      <c r="D59" s="22" t="s">
        <v>108</v>
      </c>
      <c r="E59" s="29">
        <v>180.0</v>
      </c>
      <c r="F59" s="24">
        <v>1300.0</v>
      </c>
      <c r="G59" s="24">
        <v>1300.0</v>
      </c>
      <c r="H59" s="24">
        <v>234000.0</v>
      </c>
      <c r="I59" s="24">
        <v>9586.45</v>
      </c>
      <c r="J59" s="24">
        <v>0.0</v>
      </c>
      <c r="K59" s="22" t="s">
        <v>116</v>
      </c>
      <c r="L59" s="29">
        <v>2.0</v>
      </c>
      <c r="M59" s="22" t="s">
        <v>110</v>
      </c>
    </row>
    <row r="60" ht="15.75" customHeight="1">
      <c r="A60" s="22" t="s">
        <v>175</v>
      </c>
      <c r="B60" s="23">
        <v>45927.0</v>
      </c>
      <c r="C60" s="22" t="s">
        <v>48</v>
      </c>
      <c r="D60" s="22" t="s">
        <v>49</v>
      </c>
      <c r="E60" s="29">
        <v>410.0</v>
      </c>
      <c r="F60" s="24">
        <v>240.0</v>
      </c>
      <c r="G60" s="24">
        <v>240.0</v>
      </c>
      <c r="H60" s="24">
        <v>98400.0</v>
      </c>
      <c r="I60" s="24">
        <v>2394.27</v>
      </c>
      <c r="J60" s="24">
        <v>0.0</v>
      </c>
      <c r="K60" s="22" t="s">
        <v>116</v>
      </c>
      <c r="L60" s="29">
        <v>19.0</v>
      </c>
      <c r="M60" s="22" t="s">
        <v>110</v>
      </c>
    </row>
    <row r="61" ht="15.75" customHeight="1">
      <c r="A61" s="22" t="s">
        <v>176</v>
      </c>
      <c r="B61" s="23">
        <v>45927.0</v>
      </c>
      <c r="C61" s="22" t="s">
        <v>48</v>
      </c>
      <c r="D61" s="22" t="s">
        <v>49</v>
      </c>
      <c r="E61" s="29">
        <v>435.0</v>
      </c>
      <c r="F61" s="24">
        <v>240.0</v>
      </c>
      <c r="G61" s="24">
        <v>240.0</v>
      </c>
      <c r="H61" s="24">
        <v>104400.0</v>
      </c>
      <c r="I61" s="24">
        <v>5483.18</v>
      </c>
      <c r="J61" s="24">
        <v>1599.06</v>
      </c>
      <c r="K61" s="22" t="s">
        <v>133</v>
      </c>
      <c r="L61" s="29">
        <v>9.0</v>
      </c>
      <c r="M61" s="22" t="s">
        <v>110</v>
      </c>
    </row>
    <row r="62" ht="15.75" customHeight="1">
      <c r="A62" s="22" t="s">
        <v>177</v>
      </c>
      <c r="B62" s="23">
        <v>45928.0</v>
      </c>
      <c r="C62" s="22" t="s">
        <v>38</v>
      </c>
      <c r="D62" s="22" t="s">
        <v>108</v>
      </c>
      <c r="E62" s="29">
        <v>272.0</v>
      </c>
      <c r="F62" s="24">
        <v>1290.0</v>
      </c>
      <c r="G62" s="24">
        <v>1290.0</v>
      </c>
      <c r="H62" s="24">
        <v>350880.0</v>
      </c>
      <c r="I62" s="24">
        <v>24365.35</v>
      </c>
      <c r="J62" s="24">
        <v>4555.21</v>
      </c>
      <c r="K62" s="22" t="s">
        <v>112</v>
      </c>
      <c r="L62" s="29">
        <v>4.0</v>
      </c>
      <c r="M62" s="22" t="s">
        <v>110</v>
      </c>
    </row>
    <row r="63" ht="15.75" customHeight="1">
      <c r="A63" s="22" t="s">
        <v>178</v>
      </c>
      <c r="B63" s="23">
        <v>45928.0</v>
      </c>
      <c r="C63" s="22" t="s">
        <v>38</v>
      </c>
      <c r="D63" s="22" t="s">
        <v>10</v>
      </c>
      <c r="E63" s="29">
        <v>85.0</v>
      </c>
      <c r="F63" s="24">
        <v>845.0</v>
      </c>
      <c r="G63" s="24">
        <v>845.0</v>
      </c>
      <c r="H63" s="24">
        <v>71825.0</v>
      </c>
      <c r="I63" s="24">
        <v>2983.1</v>
      </c>
      <c r="J63" s="24">
        <v>0.0</v>
      </c>
      <c r="K63" s="22" t="s">
        <v>116</v>
      </c>
      <c r="L63" s="29">
        <v>0.0</v>
      </c>
      <c r="M63" s="22" t="s">
        <v>110</v>
      </c>
    </row>
    <row r="64" ht="15.75" customHeight="1">
      <c r="A64" s="22" t="s">
        <v>179</v>
      </c>
      <c r="B64" s="23">
        <v>45928.0</v>
      </c>
      <c r="C64" s="22" t="s">
        <v>38</v>
      </c>
      <c r="D64" s="22" t="s">
        <v>108</v>
      </c>
      <c r="E64" s="29">
        <v>163.0</v>
      </c>
      <c r="F64" s="24">
        <v>1290.0</v>
      </c>
      <c r="G64" s="24">
        <v>1290.0</v>
      </c>
      <c r="H64" s="24">
        <v>210270.0</v>
      </c>
      <c r="I64" s="24">
        <v>11285.64</v>
      </c>
      <c r="J64" s="24">
        <v>0.0</v>
      </c>
      <c r="K64" s="22" t="s">
        <v>116</v>
      </c>
      <c r="L64" s="29">
        <v>1.0</v>
      </c>
      <c r="M64" s="22" t="s">
        <v>110</v>
      </c>
    </row>
    <row r="65" ht="15.75" customHeight="1">
      <c r="A65" s="22" t="s">
        <v>180</v>
      </c>
      <c r="B65" s="23">
        <v>45929.0</v>
      </c>
      <c r="C65" s="22" t="s">
        <v>48</v>
      </c>
      <c r="D65" s="22" t="s">
        <v>49</v>
      </c>
      <c r="E65" s="29">
        <v>351.0</v>
      </c>
      <c r="F65" s="24">
        <v>240.0</v>
      </c>
      <c r="G65" s="24">
        <v>240.0</v>
      </c>
      <c r="H65" s="24">
        <v>84240.0</v>
      </c>
      <c r="I65" s="24">
        <v>3259.52</v>
      </c>
      <c r="J65" s="24">
        <v>1483.66</v>
      </c>
      <c r="K65" s="22" t="s">
        <v>109</v>
      </c>
      <c r="L65" s="29">
        <v>6.0</v>
      </c>
      <c r="M65" s="22" t="s">
        <v>110</v>
      </c>
    </row>
    <row r="66" ht="15.75" customHeight="1">
      <c r="A66" s="22" t="s">
        <v>181</v>
      </c>
      <c r="B66" s="23">
        <v>45929.0</v>
      </c>
      <c r="C66" s="22" t="s">
        <v>48</v>
      </c>
      <c r="D66" s="22" t="s">
        <v>10</v>
      </c>
      <c r="E66" s="29">
        <v>172.0</v>
      </c>
      <c r="F66" s="24">
        <v>850.0</v>
      </c>
      <c r="G66" s="24">
        <v>850.0</v>
      </c>
      <c r="H66" s="24">
        <v>146200.0</v>
      </c>
      <c r="I66" s="24">
        <v>5996.7</v>
      </c>
      <c r="J66" s="24">
        <v>1481.4</v>
      </c>
      <c r="K66" s="22" t="s">
        <v>109</v>
      </c>
      <c r="L66" s="29">
        <v>4.0</v>
      </c>
      <c r="M66" s="22" t="s">
        <v>110</v>
      </c>
    </row>
    <row r="67" ht="15.75" customHeight="1">
      <c r="A67" s="22" t="s">
        <v>182</v>
      </c>
      <c r="B67" s="23">
        <v>45930.0</v>
      </c>
      <c r="C67" s="22" t="s">
        <v>48</v>
      </c>
      <c r="D67" s="22" t="s">
        <v>49</v>
      </c>
      <c r="E67" s="29">
        <v>932.0</v>
      </c>
      <c r="F67" s="24">
        <v>240.0</v>
      </c>
      <c r="G67" s="24">
        <v>240.0</v>
      </c>
      <c r="H67" s="24">
        <v>223680.0</v>
      </c>
      <c r="I67" s="24">
        <v>12083.65</v>
      </c>
      <c r="J67" s="24">
        <v>1546.59</v>
      </c>
      <c r="K67" s="22" t="s">
        <v>109</v>
      </c>
      <c r="L67" s="29">
        <v>24.0</v>
      </c>
      <c r="M67" s="22" t="s">
        <v>110</v>
      </c>
    </row>
    <row r="68" ht="15.75" customHeight="1">
      <c r="A68" s="22" t="s">
        <v>183</v>
      </c>
      <c r="B68" s="23">
        <v>45932.0</v>
      </c>
      <c r="C68" s="22" t="s">
        <v>38</v>
      </c>
      <c r="D68" s="22" t="s">
        <v>49</v>
      </c>
      <c r="E68" s="29">
        <v>248.0</v>
      </c>
      <c r="F68" s="24">
        <v>235.0</v>
      </c>
      <c r="G68" s="24">
        <v>235.0</v>
      </c>
      <c r="H68" s="24">
        <v>58280.0</v>
      </c>
      <c r="I68" s="24">
        <v>3636.24</v>
      </c>
      <c r="J68" s="24">
        <v>239.4</v>
      </c>
      <c r="K68" s="22" t="s">
        <v>109</v>
      </c>
      <c r="L68" s="29">
        <v>6.0</v>
      </c>
      <c r="M68" s="22" t="s">
        <v>184</v>
      </c>
    </row>
    <row r="69" ht="15.75" customHeight="1">
      <c r="A69" s="22" t="s">
        <v>185</v>
      </c>
      <c r="B69" s="23">
        <v>45933.0</v>
      </c>
      <c r="C69" s="22" t="s">
        <v>38</v>
      </c>
      <c r="D69" s="22" t="s">
        <v>49</v>
      </c>
      <c r="E69" s="29">
        <v>401.0</v>
      </c>
      <c r="F69" s="24">
        <v>235.0</v>
      </c>
      <c r="G69" s="24">
        <v>235.0</v>
      </c>
      <c r="H69" s="24">
        <v>94235.0</v>
      </c>
      <c r="I69" s="24">
        <v>3069.75</v>
      </c>
      <c r="J69" s="24">
        <v>364.77</v>
      </c>
      <c r="K69" s="22" t="s">
        <v>114</v>
      </c>
      <c r="L69" s="29">
        <v>9.0</v>
      </c>
      <c r="M69" s="22" t="s">
        <v>184</v>
      </c>
    </row>
    <row r="70" ht="15.75" customHeight="1">
      <c r="A70" s="22" t="s">
        <v>186</v>
      </c>
      <c r="B70" s="23">
        <v>45933.0</v>
      </c>
      <c r="C70" s="22" t="s">
        <v>48</v>
      </c>
      <c r="D70" s="22" t="s">
        <v>108</v>
      </c>
      <c r="E70" s="29">
        <v>282.0</v>
      </c>
      <c r="F70" s="24">
        <v>1300.0</v>
      </c>
      <c r="G70" s="24">
        <v>1300.0</v>
      </c>
      <c r="H70" s="24">
        <v>366600.0</v>
      </c>
      <c r="I70" s="24">
        <v>14062.95</v>
      </c>
      <c r="J70" s="24">
        <v>6566.49</v>
      </c>
      <c r="K70" s="22" t="s">
        <v>112</v>
      </c>
      <c r="L70" s="29">
        <v>4.0</v>
      </c>
      <c r="M70" s="22" t="s">
        <v>184</v>
      </c>
    </row>
    <row r="71" ht="15.75" customHeight="1">
      <c r="A71" s="22" t="s">
        <v>187</v>
      </c>
      <c r="B71" s="23">
        <v>45933.0</v>
      </c>
      <c r="C71" s="22" t="s">
        <v>38</v>
      </c>
      <c r="D71" s="22" t="s">
        <v>108</v>
      </c>
      <c r="E71" s="29">
        <v>303.0</v>
      </c>
      <c r="F71" s="24">
        <v>1290.0</v>
      </c>
      <c r="G71" s="24">
        <v>1290.0</v>
      </c>
      <c r="H71" s="24">
        <v>390870.0</v>
      </c>
      <c r="I71" s="24">
        <v>20564.69</v>
      </c>
      <c r="J71" s="24">
        <v>0.0</v>
      </c>
      <c r="K71" s="22" t="s">
        <v>116</v>
      </c>
      <c r="L71" s="29">
        <v>5.0</v>
      </c>
      <c r="M71" s="22" t="s">
        <v>184</v>
      </c>
    </row>
    <row r="72" ht="15.75" customHeight="1">
      <c r="A72" s="22" t="s">
        <v>188</v>
      </c>
      <c r="B72" s="23">
        <v>45936.0</v>
      </c>
      <c r="C72" s="22" t="s">
        <v>48</v>
      </c>
      <c r="D72" s="22" t="s">
        <v>49</v>
      </c>
      <c r="E72" s="29">
        <v>607.0</v>
      </c>
      <c r="F72" s="24">
        <v>240.0</v>
      </c>
      <c r="G72" s="24">
        <v>240.0</v>
      </c>
      <c r="H72" s="24">
        <v>145680.0</v>
      </c>
      <c r="I72" s="24">
        <v>8079.01</v>
      </c>
      <c r="J72" s="24">
        <v>295.09</v>
      </c>
      <c r="K72" s="22" t="s">
        <v>112</v>
      </c>
      <c r="L72" s="29">
        <v>20.0</v>
      </c>
      <c r="M72" s="22" t="s">
        <v>184</v>
      </c>
    </row>
    <row r="73" ht="15.75" customHeight="1">
      <c r="A73" s="22" t="s">
        <v>189</v>
      </c>
      <c r="B73" s="23">
        <v>45936.0</v>
      </c>
      <c r="C73" s="22" t="s">
        <v>38</v>
      </c>
      <c r="D73" s="22" t="s">
        <v>108</v>
      </c>
      <c r="E73" s="29">
        <v>228.0</v>
      </c>
      <c r="F73" s="24">
        <v>1290.0</v>
      </c>
      <c r="G73" s="24">
        <v>1290.0</v>
      </c>
      <c r="H73" s="24">
        <v>294120.0</v>
      </c>
      <c r="I73" s="24">
        <v>19733.27</v>
      </c>
      <c r="J73" s="24">
        <v>2032.5</v>
      </c>
      <c r="K73" s="22" t="s">
        <v>112</v>
      </c>
      <c r="L73" s="29">
        <v>4.0</v>
      </c>
      <c r="M73" s="22" t="s">
        <v>184</v>
      </c>
    </row>
    <row r="74" ht="15.75" customHeight="1">
      <c r="A74" s="22" t="s">
        <v>190</v>
      </c>
      <c r="B74" s="23">
        <v>45939.0</v>
      </c>
      <c r="C74" s="22" t="s">
        <v>38</v>
      </c>
      <c r="D74" s="22" t="s">
        <v>49</v>
      </c>
      <c r="E74" s="29">
        <v>146.0</v>
      </c>
      <c r="F74" s="24">
        <v>235.0</v>
      </c>
      <c r="G74" s="24">
        <v>235.0</v>
      </c>
      <c r="H74" s="24">
        <v>34310.0</v>
      </c>
      <c r="I74" s="24">
        <v>1488.35</v>
      </c>
      <c r="J74" s="24">
        <v>329.31</v>
      </c>
      <c r="K74" s="22" t="s">
        <v>109</v>
      </c>
      <c r="L74" s="29">
        <v>4.0</v>
      </c>
      <c r="M74" s="22" t="s">
        <v>184</v>
      </c>
    </row>
    <row r="75" ht="15.75" customHeight="1">
      <c r="A75" s="22" t="s">
        <v>191</v>
      </c>
      <c r="B75" s="23">
        <v>45940.0</v>
      </c>
      <c r="C75" s="22" t="s">
        <v>48</v>
      </c>
      <c r="D75" s="22" t="s">
        <v>49</v>
      </c>
      <c r="E75" s="29">
        <v>261.0</v>
      </c>
      <c r="F75" s="24">
        <v>240.0</v>
      </c>
      <c r="G75" s="24">
        <v>240.0</v>
      </c>
      <c r="H75" s="24">
        <v>62640.0</v>
      </c>
      <c r="I75" s="24">
        <v>1549.57</v>
      </c>
      <c r="J75" s="24">
        <v>858.39</v>
      </c>
      <c r="K75" s="22" t="s">
        <v>114</v>
      </c>
      <c r="L75" s="29">
        <v>11.0</v>
      </c>
      <c r="M75" s="22" t="s">
        <v>184</v>
      </c>
    </row>
    <row r="76" ht="15.75" customHeight="1">
      <c r="A76" s="22" t="s">
        <v>192</v>
      </c>
      <c r="B76" s="23">
        <v>45941.0</v>
      </c>
      <c r="C76" s="22" t="s">
        <v>48</v>
      </c>
      <c r="D76" s="22" t="s">
        <v>10</v>
      </c>
      <c r="E76" s="29">
        <v>102.0</v>
      </c>
      <c r="F76" s="24">
        <v>850.0</v>
      </c>
      <c r="G76" s="24">
        <v>850.0</v>
      </c>
      <c r="H76" s="24">
        <v>86700.0</v>
      </c>
      <c r="I76" s="24">
        <v>1976.29</v>
      </c>
      <c r="J76" s="24">
        <v>0.0</v>
      </c>
      <c r="K76" s="22" t="s">
        <v>116</v>
      </c>
      <c r="L76" s="29">
        <v>1.0</v>
      </c>
      <c r="M76" s="22" t="s">
        <v>184</v>
      </c>
    </row>
    <row r="77" ht="15.75" customHeight="1">
      <c r="A77" s="22" t="s">
        <v>193</v>
      </c>
      <c r="B77" s="23">
        <v>45942.0</v>
      </c>
      <c r="C77" s="22" t="s">
        <v>38</v>
      </c>
      <c r="D77" s="22" t="s">
        <v>49</v>
      </c>
      <c r="E77" s="29">
        <v>298.0</v>
      </c>
      <c r="F77" s="24">
        <v>235.0</v>
      </c>
      <c r="G77" s="24">
        <v>235.0</v>
      </c>
      <c r="H77" s="24">
        <v>70030.0</v>
      </c>
      <c r="I77" s="24">
        <v>4128.18</v>
      </c>
      <c r="J77" s="24">
        <v>0.0</v>
      </c>
      <c r="K77" s="22" t="s">
        <v>116</v>
      </c>
      <c r="L77" s="29">
        <v>8.0</v>
      </c>
      <c r="M77" s="22" t="s">
        <v>184</v>
      </c>
    </row>
    <row r="78" ht="15.75" customHeight="1">
      <c r="A78" s="22" t="s">
        <v>194</v>
      </c>
      <c r="B78" s="23">
        <v>45942.0</v>
      </c>
      <c r="C78" s="22" t="s">
        <v>38</v>
      </c>
      <c r="D78" s="22" t="s">
        <v>10</v>
      </c>
      <c r="E78" s="29">
        <v>272.0</v>
      </c>
      <c r="F78" s="24">
        <v>845.0</v>
      </c>
      <c r="G78" s="24">
        <v>845.0</v>
      </c>
      <c r="H78" s="24">
        <v>229840.0</v>
      </c>
      <c r="I78" s="24">
        <v>8494.5</v>
      </c>
      <c r="J78" s="24">
        <v>0.0</v>
      </c>
      <c r="K78" s="22" t="s">
        <v>116</v>
      </c>
      <c r="L78" s="29">
        <v>6.0</v>
      </c>
      <c r="M78" s="22" t="s">
        <v>184</v>
      </c>
    </row>
    <row r="79" ht="15.75" customHeight="1">
      <c r="A79" s="22" t="s">
        <v>195</v>
      </c>
      <c r="B79" s="23">
        <v>45942.0</v>
      </c>
      <c r="C79" s="22" t="s">
        <v>38</v>
      </c>
      <c r="D79" s="22" t="s">
        <v>10</v>
      </c>
      <c r="E79" s="29">
        <v>126.0</v>
      </c>
      <c r="F79" s="24">
        <v>845.0</v>
      </c>
      <c r="G79" s="24">
        <v>845.0</v>
      </c>
      <c r="H79" s="24">
        <v>106470.0</v>
      </c>
      <c r="I79" s="24">
        <v>6709.91</v>
      </c>
      <c r="J79" s="24">
        <v>1581.74</v>
      </c>
      <c r="K79" s="22" t="s">
        <v>109</v>
      </c>
      <c r="L79" s="29">
        <v>4.0</v>
      </c>
      <c r="M79" s="22" t="s">
        <v>184</v>
      </c>
    </row>
    <row r="80" ht="15.75" customHeight="1">
      <c r="A80" s="22" t="s">
        <v>196</v>
      </c>
      <c r="B80" s="23">
        <v>45942.0</v>
      </c>
      <c r="C80" s="22" t="s">
        <v>48</v>
      </c>
      <c r="D80" s="22" t="s">
        <v>10</v>
      </c>
      <c r="E80" s="29">
        <v>298.0</v>
      </c>
      <c r="F80" s="24">
        <v>850.0</v>
      </c>
      <c r="G80" s="24">
        <v>850.0</v>
      </c>
      <c r="H80" s="24">
        <v>253300.0</v>
      </c>
      <c r="I80" s="24">
        <v>9263.01</v>
      </c>
      <c r="J80" s="24">
        <v>0.0</v>
      </c>
      <c r="K80" s="22" t="s">
        <v>116</v>
      </c>
      <c r="L80" s="29">
        <v>4.0</v>
      </c>
      <c r="M80" s="22" t="s">
        <v>184</v>
      </c>
    </row>
    <row r="81" ht="15.75" customHeight="1">
      <c r="A81" s="22" t="s">
        <v>197</v>
      </c>
      <c r="B81" s="23">
        <v>45942.0</v>
      </c>
      <c r="C81" s="22" t="s">
        <v>38</v>
      </c>
      <c r="D81" s="22" t="s">
        <v>10</v>
      </c>
      <c r="E81" s="29">
        <v>264.0</v>
      </c>
      <c r="F81" s="24">
        <v>845.0</v>
      </c>
      <c r="G81" s="24">
        <v>845.0</v>
      </c>
      <c r="H81" s="24">
        <v>223080.0</v>
      </c>
      <c r="I81" s="24">
        <v>6067.55</v>
      </c>
      <c r="J81" s="24">
        <v>1372.03</v>
      </c>
      <c r="K81" s="22" t="s">
        <v>133</v>
      </c>
      <c r="L81" s="29">
        <v>4.0</v>
      </c>
      <c r="M81" s="22" t="s">
        <v>184</v>
      </c>
    </row>
    <row r="82" ht="15.75" customHeight="1">
      <c r="A82" s="22" t="s">
        <v>198</v>
      </c>
      <c r="B82" s="23">
        <v>45943.0</v>
      </c>
      <c r="C82" s="22" t="s">
        <v>48</v>
      </c>
      <c r="D82" s="22" t="s">
        <v>49</v>
      </c>
      <c r="E82" s="29">
        <v>159.0</v>
      </c>
      <c r="F82" s="24">
        <v>240.0</v>
      </c>
      <c r="G82" s="24">
        <v>240.0</v>
      </c>
      <c r="H82" s="24">
        <v>38160.0</v>
      </c>
      <c r="I82" s="24">
        <v>1446.61</v>
      </c>
      <c r="J82" s="24">
        <v>600.71</v>
      </c>
      <c r="K82" s="22" t="s">
        <v>114</v>
      </c>
      <c r="L82" s="29">
        <v>5.0</v>
      </c>
      <c r="M82" s="22" t="s">
        <v>184</v>
      </c>
    </row>
    <row r="83" ht="15.75" customHeight="1">
      <c r="A83" s="22" t="s">
        <v>199</v>
      </c>
      <c r="B83" s="23">
        <v>45943.0</v>
      </c>
      <c r="C83" s="22" t="s">
        <v>56</v>
      </c>
      <c r="D83" s="22" t="s">
        <v>49</v>
      </c>
      <c r="E83" s="29">
        <v>189.0</v>
      </c>
      <c r="F83" s="24">
        <v>230.0</v>
      </c>
      <c r="G83" s="24">
        <v>230.0</v>
      </c>
      <c r="H83" s="24">
        <v>43470.0</v>
      </c>
      <c r="I83" s="24">
        <v>985.71</v>
      </c>
      <c r="J83" s="24">
        <v>0.0</v>
      </c>
      <c r="K83" s="22" t="s">
        <v>116</v>
      </c>
      <c r="L83" s="29">
        <v>2.0</v>
      </c>
      <c r="M83" s="22" t="s">
        <v>184</v>
      </c>
    </row>
    <row r="84" ht="15.75" customHeight="1">
      <c r="A84" s="22" t="s">
        <v>200</v>
      </c>
      <c r="B84" s="23">
        <v>45945.0</v>
      </c>
      <c r="C84" s="22" t="s">
        <v>38</v>
      </c>
      <c r="D84" s="22" t="s">
        <v>108</v>
      </c>
      <c r="E84" s="29">
        <v>341.0</v>
      </c>
      <c r="F84" s="24">
        <v>1290.0</v>
      </c>
      <c r="G84" s="24">
        <v>1290.0</v>
      </c>
      <c r="H84" s="24">
        <v>439890.0</v>
      </c>
      <c r="I84" s="24">
        <v>22544.01</v>
      </c>
      <c r="J84" s="24">
        <v>6696.19</v>
      </c>
      <c r="K84" s="22" t="s">
        <v>112</v>
      </c>
      <c r="L84" s="29">
        <v>2.0</v>
      </c>
      <c r="M84" s="22" t="s">
        <v>184</v>
      </c>
    </row>
    <row r="85" ht="15.75" customHeight="1">
      <c r="A85" s="22" t="s">
        <v>201</v>
      </c>
      <c r="B85" s="23">
        <v>45945.0</v>
      </c>
      <c r="C85" s="22" t="s">
        <v>48</v>
      </c>
      <c r="D85" s="22" t="s">
        <v>49</v>
      </c>
      <c r="E85" s="29">
        <v>88.0</v>
      </c>
      <c r="F85" s="24">
        <v>240.0</v>
      </c>
      <c r="G85" s="24">
        <v>240.0</v>
      </c>
      <c r="H85" s="24">
        <v>21120.0</v>
      </c>
      <c r="I85" s="24">
        <v>1262.39</v>
      </c>
      <c r="J85" s="24">
        <v>340.63</v>
      </c>
      <c r="K85" s="22" t="s">
        <v>109</v>
      </c>
      <c r="L85" s="29">
        <v>2.0</v>
      </c>
      <c r="M85" s="22" t="s">
        <v>184</v>
      </c>
    </row>
    <row r="86" ht="15.75" customHeight="1">
      <c r="A86" s="22" t="s">
        <v>202</v>
      </c>
      <c r="B86" s="23">
        <v>45945.0</v>
      </c>
      <c r="C86" s="22" t="s">
        <v>48</v>
      </c>
      <c r="D86" s="22" t="s">
        <v>49</v>
      </c>
      <c r="E86" s="29">
        <v>212.0</v>
      </c>
      <c r="F86" s="24">
        <v>240.0</v>
      </c>
      <c r="G86" s="24">
        <v>240.0</v>
      </c>
      <c r="H86" s="24">
        <v>50880.0</v>
      </c>
      <c r="I86" s="24">
        <v>1585.63</v>
      </c>
      <c r="J86" s="24">
        <v>307.17</v>
      </c>
      <c r="K86" s="22" t="s">
        <v>133</v>
      </c>
      <c r="L86" s="29">
        <v>4.0</v>
      </c>
      <c r="M86" s="22" t="s">
        <v>184</v>
      </c>
    </row>
    <row r="87" ht="15.75" customHeight="1">
      <c r="A87" s="22" t="s">
        <v>203</v>
      </c>
      <c r="B87" s="23">
        <v>45946.0</v>
      </c>
      <c r="C87" s="22" t="s">
        <v>48</v>
      </c>
      <c r="D87" s="22" t="s">
        <v>10</v>
      </c>
      <c r="E87" s="29">
        <v>172.0</v>
      </c>
      <c r="F87" s="24">
        <v>850.0</v>
      </c>
      <c r="G87" s="24">
        <v>850.0</v>
      </c>
      <c r="H87" s="24">
        <v>146200.0</v>
      </c>
      <c r="I87" s="24">
        <v>4930.84</v>
      </c>
      <c r="J87" s="24">
        <v>1839.58</v>
      </c>
      <c r="K87" s="22" t="s">
        <v>114</v>
      </c>
      <c r="L87" s="29">
        <v>2.0</v>
      </c>
      <c r="M87" s="22" t="s">
        <v>184</v>
      </c>
    </row>
    <row r="88" ht="15.75" customHeight="1">
      <c r="A88" s="22" t="s">
        <v>204</v>
      </c>
      <c r="B88" s="23">
        <v>45947.0</v>
      </c>
      <c r="C88" s="22" t="s">
        <v>56</v>
      </c>
      <c r="D88" s="22" t="s">
        <v>10</v>
      </c>
      <c r="E88" s="29">
        <v>193.0</v>
      </c>
      <c r="F88" s="24">
        <v>820.0</v>
      </c>
      <c r="G88" s="24">
        <v>820.0</v>
      </c>
      <c r="H88" s="24">
        <v>158260.0</v>
      </c>
      <c r="I88" s="24">
        <v>2192.14</v>
      </c>
      <c r="J88" s="24">
        <v>1576.14</v>
      </c>
      <c r="K88" s="22" t="s">
        <v>109</v>
      </c>
      <c r="L88" s="29">
        <v>3.0</v>
      </c>
      <c r="M88" s="22" t="s">
        <v>184</v>
      </c>
    </row>
    <row r="89" ht="15.75" customHeight="1">
      <c r="A89" s="22" t="s">
        <v>205</v>
      </c>
      <c r="B89" s="23">
        <v>45947.0</v>
      </c>
      <c r="C89" s="22" t="s">
        <v>48</v>
      </c>
      <c r="D89" s="22" t="s">
        <v>49</v>
      </c>
      <c r="E89" s="29">
        <v>269.0</v>
      </c>
      <c r="F89" s="24">
        <v>240.0</v>
      </c>
      <c r="G89" s="24">
        <v>240.0</v>
      </c>
      <c r="H89" s="24">
        <v>64560.0</v>
      </c>
      <c r="I89" s="24">
        <v>2254.31</v>
      </c>
      <c r="J89" s="24">
        <v>342.27</v>
      </c>
      <c r="K89" s="22" t="s">
        <v>112</v>
      </c>
      <c r="L89" s="29">
        <v>10.0</v>
      </c>
      <c r="M89" s="22" t="s">
        <v>184</v>
      </c>
    </row>
    <row r="90" ht="15.75" customHeight="1">
      <c r="A90" s="22" t="s">
        <v>206</v>
      </c>
      <c r="B90" s="23">
        <v>45947.0</v>
      </c>
      <c r="C90" s="22" t="s">
        <v>48</v>
      </c>
      <c r="D90" s="22" t="s">
        <v>49</v>
      </c>
      <c r="E90" s="29">
        <v>114.0</v>
      </c>
      <c r="F90" s="24">
        <v>240.0</v>
      </c>
      <c r="G90" s="24">
        <v>240.0</v>
      </c>
      <c r="H90" s="24">
        <v>27360.0</v>
      </c>
      <c r="I90" s="24">
        <v>442.94</v>
      </c>
      <c r="J90" s="24">
        <v>489.73</v>
      </c>
      <c r="K90" s="22" t="s">
        <v>112</v>
      </c>
      <c r="L90" s="29">
        <v>1.0</v>
      </c>
      <c r="M90" s="22" t="s">
        <v>184</v>
      </c>
    </row>
    <row r="91" ht="15.75" customHeight="1">
      <c r="A91" s="22" t="s">
        <v>207</v>
      </c>
      <c r="B91" s="23">
        <v>45947.0</v>
      </c>
      <c r="C91" s="22" t="s">
        <v>48</v>
      </c>
      <c r="D91" s="22" t="s">
        <v>108</v>
      </c>
      <c r="E91" s="29">
        <v>340.0</v>
      </c>
      <c r="F91" s="24">
        <v>1300.0</v>
      </c>
      <c r="G91" s="24">
        <v>1300.0</v>
      </c>
      <c r="H91" s="24">
        <v>442000.0</v>
      </c>
      <c r="I91" s="24">
        <v>8803.69</v>
      </c>
      <c r="J91" s="24">
        <v>0.0</v>
      </c>
      <c r="K91" s="22" t="s">
        <v>116</v>
      </c>
      <c r="L91" s="29">
        <v>6.0</v>
      </c>
      <c r="M91" s="22" t="s">
        <v>184</v>
      </c>
    </row>
    <row r="92" ht="15.75" customHeight="1">
      <c r="A92" s="22" t="s">
        <v>208</v>
      </c>
      <c r="B92" s="23">
        <v>45948.0</v>
      </c>
      <c r="C92" s="22" t="s">
        <v>48</v>
      </c>
      <c r="D92" s="22" t="s">
        <v>10</v>
      </c>
      <c r="E92" s="29">
        <v>135.0</v>
      </c>
      <c r="F92" s="24">
        <v>850.0</v>
      </c>
      <c r="G92" s="24">
        <v>850.0</v>
      </c>
      <c r="H92" s="24">
        <v>114750.0</v>
      </c>
      <c r="I92" s="24">
        <v>3906.34</v>
      </c>
      <c r="J92" s="24">
        <v>1795.93</v>
      </c>
      <c r="K92" s="22" t="s">
        <v>114</v>
      </c>
      <c r="L92" s="29">
        <v>3.0</v>
      </c>
      <c r="M92" s="22" t="s">
        <v>184</v>
      </c>
    </row>
    <row r="93" ht="15.75" customHeight="1">
      <c r="A93" s="22" t="s">
        <v>209</v>
      </c>
      <c r="B93" s="23">
        <v>45948.0</v>
      </c>
      <c r="C93" s="22" t="s">
        <v>56</v>
      </c>
      <c r="D93" s="22" t="s">
        <v>108</v>
      </c>
      <c r="E93" s="29">
        <v>296.0</v>
      </c>
      <c r="F93" s="24">
        <v>1250.0</v>
      </c>
      <c r="G93" s="24">
        <v>1250.0</v>
      </c>
      <c r="H93" s="24">
        <v>370000.0</v>
      </c>
      <c r="I93" s="24">
        <v>13095.06</v>
      </c>
      <c r="J93" s="24">
        <v>0.0</v>
      </c>
      <c r="K93" s="22" t="s">
        <v>116</v>
      </c>
      <c r="L93" s="29">
        <v>7.0</v>
      </c>
      <c r="M93" s="22" t="s">
        <v>184</v>
      </c>
    </row>
    <row r="94" ht="15.75" customHeight="1">
      <c r="A94" s="22" t="s">
        <v>210</v>
      </c>
      <c r="B94" s="23">
        <v>45949.0</v>
      </c>
      <c r="C94" s="22" t="s">
        <v>38</v>
      </c>
      <c r="D94" s="22" t="s">
        <v>10</v>
      </c>
      <c r="E94" s="29">
        <v>522.0</v>
      </c>
      <c r="F94" s="24">
        <v>845.0</v>
      </c>
      <c r="G94" s="24">
        <v>845.0</v>
      </c>
      <c r="H94" s="24">
        <v>441090.0</v>
      </c>
      <c r="I94" s="24">
        <v>13687.44</v>
      </c>
      <c r="J94" s="24">
        <v>0.0</v>
      </c>
      <c r="K94" s="22" t="s">
        <v>116</v>
      </c>
      <c r="L94" s="29">
        <v>10.0</v>
      </c>
      <c r="M94" s="22" t="s">
        <v>184</v>
      </c>
    </row>
    <row r="95" ht="15.75" customHeight="1">
      <c r="A95" s="22" t="s">
        <v>211</v>
      </c>
      <c r="B95" s="23">
        <v>45949.0</v>
      </c>
      <c r="C95" s="22" t="s">
        <v>48</v>
      </c>
      <c r="D95" s="22" t="s">
        <v>49</v>
      </c>
      <c r="E95" s="29">
        <v>214.0</v>
      </c>
      <c r="F95" s="24">
        <v>240.0</v>
      </c>
      <c r="G95" s="24">
        <v>240.0</v>
      </c>
      <c r="H95" s="24">
        <v>51360.0</v>
      </c>
      <c r="I95" s="24">
        <v>2635.78</v>
      </c>
      <c r="J95" s="24">
        <v>0.0</v>
      </c>
      <c r="K95" s="22" t="s">
        <v>116</v>
      </c>
      <c r="L95" s="29">
        <v>5.0</v>
      </c>
      <c r="M95" s="22" t="s">
        <v>184</v>
      </c>
    </row>
    <row r="96" ht="15.75" customHeight="1">
      <c r="A96" s="22" t="s">
        <v>212</v>
      </c>
      <c r="B96" s="23">
        <v>45949.0</v>
      </c>
      <c r="C96" s="22" t="s">
        <v>48</v>
      </c>
      <c r="D96" s="22" t="s">
        <v>10</v>
      </c>
      <c r="E96" s="29">
        <v>162.0</v>
      </c>
      <c r="F96" s="24">
        <v>850.0</v>
      </c>
      <c r="G96" s="24">
        <v>850.0</v>
      </c>
      <c r="H96" s="24">
        <v>137700.0</v>
      </c>
      <c r="I96" s="24">
        <v>4639.13</v>
      </c>
      <c r="J96" s="24">
        <v>0.0</v>
      </c>
      <c r="K96" s="22" t="s">
        <v>116</v>
      </c>
      <c r="L96" s="29">
        <v>5.0</v>
      </c>
      <c r="M96" s="22" t="s">
        <v>184</v>
      </c>
    </row>
    <row r="97" ht="15.75" customHeight="1">
      <c r="A97" s="22" t="s">
        <v>213</v>
      </c>
      <c r="B97" s="23">
        <v>45950.0</v>
      </c>
      <c r="C97" s="22" t="s">
        <v>48</v>
      </c>
      <c r="D97" s="22" t="s">
        <v>10</v>
      </c>
      <c r="E97" s="29">
        <v>346.0</v>
      </c>
      <c r="F97" s="24">
        <v>850.0</v>
      </c>
      <c r="G97" s="24">
        <v>850.0</v>
      </c>
      <c r="H97" s="24">
        <v>294100.0</v>
      </c>
      <c r="I97" s="24">
        <v>12977.76</v>
      </c>
      <c r="J97" s="24">
        <v>1348.71</v>
      </c>
      <c r="K97" s="22" t="s">
        <v>114</v>
      </c>
      <c r="L97" s="29">
        <v>11.0</v>
      </c>
      <c r="M97" s="22" t="s">
        <v>184</v>
      </c>
    </row>
    <row r="98" ht="15.75" customHeight="1">
      <c r="A98" s="22" t="s">
        <v>214</v>
      </c>
      <c r="B98" s="23">
        <v>45950.0</v>
      </c>
      <c r="C98" s="22" t="s">
        <v>56</v>
      </c>
      <c r="D98" s="22" t="s">
        <v>49</v>
      </c>
      <c r="E98" s="29">
        <v>635.0</v>
      </c>
      <c r="F98" s="24">
        <v>230.0</v>
      </c>
      <c r="G98" s="24">
        <v>230.0</v>
      </c>
      <c r="H98" s="24">
        <v>146050.0</v>
      </c>
      <c r="I98" s="24">
        <v>1663.47</v>
      </c>
      <c r="J98" s="24">
        <v>637.33</v>
      </c>
      <c r="K98" s="22" t="s">
        <v>109</v>
      </c>
      <c r="L98" s="29">
        <v>25.0</v>
      </c>
      <c r="M98" s="22" t="s">
        <v>184</v>
      </c>
    </row>
    <row r="99" ht="15.75" customHeight="1">
      <c r="A99" s="22" t="s">
        <v>215</v>
      </c>
      <c r="B99" s="23">
        <v>45950.0</v>
      </c>
      <c r="C99" s="22" t="s">
        <v>48</v>
      </c>
      <c r="D99" s="22" t="s">
        <v>49</v>
      </c>
      <c r="E99" s="29">
        <v>469.0</v>
      </c>
      <c r="F99" s="24">
        <v>240.0</v>
      </c>
      <c r="G99" s="24">
        <v>240.0</v>
      </c>
      <c r="H99" s="24">
        <v>112560.0</v>
      </c>
      <c r="I99" s="24">
        <v>5408.34</v>
      </c>
      <c r="J99" s="24">
        <v>1790.1</v>
      </c>
      <c r="K99" s="22" t="s">
        <v>114</v>
      </c>
      <c r="L99" s="29">
        <v>14.0</v>
      </c>
      <c r="M99" s="22" t="s">
        <v>184</v>
      </c>
    </row>
    <row r="100" ht="15.75" customHeight="1">
      <c r="A100" s="22" t="s">
        <v>216</v>
      </c>
      <c r="B100" s="23">
        <v>45951.0</v>
      </c>
      <c r="C100" s="22" t="s">
        <v>38</v>
      </c>
      <c r="D100" s="22" t="s">
        <v>49</v>
      </c>
      <c r="E100" s="29">
        <v>57.0</v>
      </c>
      <c r="F100" s="24">
        <v>235.0</v>
      </c>
      <c r="G100" s="24">
        <v>235.0</v>
      </c>
      <c r="H100" s="24">
        <v>13395.0</v>
      </c>
      <c r="I100" s="24">
        <v>354.72</v>
      </c>
      <c r="J100" s="24">
        <v>0.0</v>
      </c>
      <c r="K100" s="22" t="s">
        <v>116</v>
      </c>
      <c r="L100" s="29">
        <v>2.0</v>
      </c>
      <c r="M100" s="22" t="s">
        <v>184</v>
      </c>
    </row>
    <row r="101" ht="15.75" customHeight="1">
      <c r="A101" s="22" t="s">
        <v>217</v>
      </c>
      <c r="B101" s="23">
        <v>45951.0</v>
      </c>
      <c r="C101" s="22" t="s">
        <v>38</v>
      </c>
      <c r="D101" s="22" t="s">
        <v>108</v>
      </c>
      <c r="E101" s="29">
        <v>219.0</v>
      </c>
      <c r="F101" s="24">
        <v>1290.0</v>
      </c>
      <c r="G101" s="24">
        <v>1290.0</v>
      </c>
      <c r="H101" s="24">
        <v>282510.0</v>
      </c>
      <c r="I101" s="24">
        <v>17876.96</v>
      </c>
      <c r="J101" s="24">
        <v>1467.45</v>
      </c>
      <c r="K101" s="22" t="s">
        <v>112</v>
      </c>
      <c r="L101" s="29">
        <v>4.0</v>
      </c>
      <c r="M101" s="22" t="s">
        <v>184</v>
      </c>
    </row>
    <row r="102" ht="15.75" customHeight="1">
      <c r="A102" s="22" t="s">
        <v>218</v>
      </c>
      <c r="B102" s="23">
        <v>45952.0</v>
      </c>
      <c r="C102" s="22" t="s">
        <v>38</v>
      </c>
      <c r="D102" s="22" t="s">
        <v>10</v>
      </c>
      <c r="E102" s="29">
        <v>308.0</v>
      </c>
      <c r="F102" s="24">
        <v>845.0</v>
      </c>
      <c r="G102" s="24">
        <v>845.0</v>
      </c>
      <c r="H102" s="24">
        <v>260260.0</v>
      </c>
      <c r="I102" s="24">
        <v>18955.89</v>
      </c>
      <c r="J102" s="24">
        <v>4321.26</v>
      </c>
      <c r="K102" s="22" t="s">
        <v>114</v>
      </c>
      <c r="L102" s="29">
        <v>12.0</v>
      </c>
      <c r="M102" s="22" t="s">
        <v>184</v>
      </c>
    </row>
    <row r="103" ht="15.75" customHeight="1">
      <c r="A103" s="22" t="s">
        <v>219</v>
      </c>
      <c r="B103" s="23">
        <v>45952.0</v>
      </c>
      <c r="C103" s="22" t="s">
        <v>48</v>
      </c>
      <c r="D103" s="22" t="s">
        <v>49</v>
      </c>
      <c r="E103" s="29">
        <v>719.0</v>
      </c>
      <c r="F103" s="24">
        <v>240.0</v>
      </c>
      <c r="G103" s="24">
        <v>240.0</v>
      </c>
      <c r="H103" s="24">
        <v>172560.0</v>
      </c>
      <c r="I103" s="24">
        <v>10252.08</v>
      </c>
      <c r="J103" s="24">
        <v>0.0</v>
      </c>
      <c r="K103" s="22" t="s">
        <v>116</v>
      </c>
      <c r="L103" s="29">
        <v>20.0</v>
      </c>
      <c r="M103" s="22" t="s">
        <v>184</v>
      </c>
    </row>
    <row r="104" ht="15.75" customHeight="1">
      <c r="A104" s="22" t="s">
        <v>220</v>
      </c>
      <c r="B104" s="23">
        <v>45952.0</v>
      </c>
      <c r="C104" s="22" t="s">
        <v>56</v>
      </c>
      <c r="D104" s="22" t="s">
        <v>10</v>
      </c>
      <c r="E104" s="29">
        <v>160.0</v>
      </c>
      <c r="F104" s="24">
        <v>820.0</v>
      </c>
      <c r="G104" s="24">
        <v>820.0</v>
      </c>
      <c r="H104" s="24">
        <v>131200.0</v>
      </c>
      <c r="I104" s="24">
        <v>2693.08</v>
      </c>
      <c r="J104" s="24">
        <v>1406.31</v>
      </c>
      <c r="K104" s="22" t="s">
        <v>112</v>
      </c>
      <c r="L104" s="29">
        <v>5.0</v>
      </c>
      <c r="M104" s="22" t="s">
        <v>184</v>
      </c>
    </row>
    <row r="105" ht="15.75" customHeight="1">
      <c r="A105" s="22" t="s">
        <v>221</v>
      </c>
      <c r="B105" s="23">
        <v>45952.0</v>
      </c>
      <c r="C105" s="22" t="s">
        <v>48</v>
      </c>
      <c r="D105" s="22" t="s">
        <v>49</v>
      </c>
      <c r="E105" s="29">
        <v>304.0</v>
      </c>
      <c r="F105" s="24">
        <v>240.0</v>
      </c>
      <c r="G105" s="24">
        <v>240.0</v>
      </c>
      <c r="H105" s="24">
        <v>72960.0</v>
      </c>
      <c r="I105" s="24">
        <v>3830.56</v>
      </c>
      <c r="J105" s="24">
        <v>0.0</v>
      </c>
      <c r="K105" s="22" t="s">
        <v>116</v>
      </c>
      <c r="L105" s="29">
        <v>7.0</v>
      </c>
      <c r="M105" s="22" t="s">
        <v>184</v>
      </c>
    </row>
    <row r="106" ht="15.75" customHeight="1">
      <c r="A106" s="22" t="s">
        <v>222</v>
      </c>
      <c r="B106" s="23">
        <v>45953.0</v>
      </c>
      <c r="C106" s="22" t="s">
        <v>38</v>
      </c>
      <c r="D106" s="22" t="s">
        <v>108</v>
      </c>
      <c r="E106" s="29">
        <v>511.0</v>
      </c>
      <c r="F106" s="24">
        <v>1290.0</v>
      </c>
      <c r="G106" s="24">
        <v>1290.0</v>
      </c>
      <c r="H106" s="24">
        <v>659190.0</v>
      </c>
      <c r="I106" s="24">
        <v>15185.46</v>
      </c>
      <c r="J106" s="24">
        <v>0.0</v>
      </c>
      <c r="K106" s="22" t="s">
        <v>116</v>
      </c>
      <c r="L106" s="29">
        <v>11.0</v>
      </c>
      <c r="M106" s="22" t="s">
        <v>184</v>
      </c>
    </row>
    <row r="107" ht="15.75" customHeight="1">
      <c r="A107" s="22" t="s">
        <v>223</v>
      </c>
      <c r="B107" s="23">
        <v>45953.0</v>
      </c>
      <c r="C107" s="22" t="s">
        <v>48</v>
      </c>
      <c r="D107" s="22" t="s">
        <v>10</v>
      </c>
      <c r="E107" s="29">
        <v>413.0</v>
      </c>
      <c r="F107" s="24">
        <v>850.0</v>
      </c>
      <c r="G107" s="24">
        <v>850.0</v>
      </c>
      <c r="H107" s="24">
        <v>351050.0</v>
      </c>
      <c r="I107" s="24">
        <v>6402.71</v>
      </c>
      <c r="J107" s="24">
        <v>1888.44</v>
      </c>
      <c r="K107" s="22" t="s">
        <v>133</v>
      </c>
      <c r="L107" s="29">
        <v>11.0</v>
      </c>
      <c r="M107" s="22" t="s">
        <v>184</v>
      </c>
    </row>
    <row r="108" ht="15.75" customHeight="1">
      <c r="A108" s="22" t="s">
        <v>224</v>
      </c>
      <c r="B108" s="23">
        <v>45954.0</v>
      </c>
      <c r="C108" s="22" t="s">
        <v>38</v>
      </c>
      <c r="D108" s="22" t="s">
        <v>49</v>
      </c>
      <c r="E108" s="29">
        <v>115.0</v>
      </c>
      <c r="F108" s="24">
        <v>235.0</v>
      </c>
      <c r="G108" s="24">
        <v>235.0</v>
      </c>
      <c r="H108" s="24">
        <v>27025.0</v>
      </c>
      <c r="I108" s="24">
        <v>1330.2</v>
      </c>
      <c r="J108" s="24">
        <v>139.91</v>
      </c>
      <c r="K108" s="22" t="s">
        <v>112</v>
      </c>
      <c r="L108" s="29">
        <v>0.0</v>
      </c>
      <c r="M108" s="22" t="s">
        <v>184</v>
      </c>
    </row>
    <row r="109" ht="15.75" customHeight="1">
      <c r="A109" s="22" t="s">
        <v>225</v>
      </c>
      <c r="B109" s="23">
        <v>45954.0</v>
      </c>
      <c r="C109" s="22" t="s">
        <v>56</v>
      </c>
      <c r="D109" s="22" t="s">
        <v>49</v>
      </c>
      <c r="E109" s="29">
        <v>266.0</v>
      </c>
      <c r="F109" s="24">
        <v>230.0</v>
      </c>
      <c r="G109" s="24">
        <v>230.0</v>
      </c>
      <c r="H109" s="24">
        <v>61180.0</v>
      </c>
      <c r="I109" s="24">
        <v>1863.53</v>
      </c>
      <c r="J109" s="24">
        <v>381.61</v>
      </c>
      <c r="K109" s="22" t="s">
        <v>109</v>
      </c>
      <c r="L109" s="29">
        <v>9.0</v>
      </c>
      <c r="M109" s="22" t="s">
        <v>184</v>
      </c>
    </row>
    <row r="110" ht="15.75" customHeight="1">
      <c r="A110" s="22" t="s">
        <v>226</v>
      </c>
      <c r="B110" s="23">
        <v>45954.0</v>
      </c>
      <c r="C110" s="22" t="s">
        <v>38</v>
      </c>
      <c r="D110" s="22" t="s">
        <v>10</v>
      </c>
      <c r="E110" s="29">
        <v>221.0</v>
      </c>
      <c r="F110" s="24">
        <v>845.0</v>
      </c>
      <c r="G110" s="24">
        <v>845.0</v>
      </c>
      <c r="H110" s="24">
        <v>186745.0</v>
      </c>
      <c r="I110" s="24">
        <v>12072.39</v>
      </c>
      <c r="J110" s="24">
        <v>0.0</v>
      </c>
      <c r="K110" s="22" t="s">
        <v>116</v>
      </c>
      <c r="L110" s="29">
        <v>5.0</v>
      </c>
      <c r="M110" s="22" t="s">
        <v>184</v>
      </c>
    </row>
    <row r="111" ht="15.75" customHeight="1">
      <c r="A111" s="22" t="s">
        <v>227</v>
      </c>
      <c r="B111" s="23">
        <v>45955.0</v>
      </c>
      <c r="C111" s="22" t="s">
        <v>48</v>
      </c>
      <c r="D111" s="22" t="s">
        <v>49</v>
      </c>
      <c r="E111" s="29">
        <v>264.0</v>
      </c>
      <c r="F111" s="24">
        <v>240.0</v>
      </c>
      <c r="G111" s="24">
        <v>240.0</v>
      </c>
      <c r="H111" s="24">
        <v>63360.0</v>
      </c>
      <c r="I111" s="24">
        <v>3583.86</v>
      </c>
      <c r="J111" s="24">
        <v>0.0</v>
      </c>
      <c r="K111" s="22" t="s">
        <v>116</v>
      </c>
      <c r="L111" s="29">
        <v>5.0</v>
      </c>
      <c r="M111" s="22" t="s">
        <v>184</v>
      </c>
    </row>
    <row r="112" ht="15.75" customHeight="1">
      <c r="A112" s="22" t="s">
        <v>228</v>
      </c>
      <c r="B112" s="23">
        <v>45955.0</v>
      </c>
      <c r="C112" s="22" t="s">
        <v>48</v>
      </c>
      <c r="D112" s="22" t="s">
        <v>10</v>
      </c>
      <c r="E112" s="29">
        <v>105.0</v>
      </c>
      <c r="F112" s="24">
        <v>850.0</v>
      </c>
      <c r="G112" s="24">
        <v>850.0</v>
      </c>
      <c r="H112" s="24">
        <v>89250.0</v>
      </c>
      <c r="I112" s="24">
        <v>1708.01</v>
      </c>
      <c r="J112" s="24">
        <v>201.61</v>
      </c>
      <c r="K112" s="22" t="s">
        <v>109</v>
      </c>
      <c r="L112" s="29">
        <v>3.0</v>
      </c>
      <c r="M112" s="22" t="s">
        <v>184</v>
      </c>
    </row>
    <row r="113" ht="15.75" customHeight="1">
      <c r="A113" s="22" t="s">
        <v>229</v>
      </c>
      <c r="B113" s="23">
        <v>45955.0</v>
      </c>
      <c r="C113" s="22" t="s">
        <v>38</v>
      </c>
      <c r="D113" s="22" t="s">
        <v>49</v>
      </c>
      <c r="E113" s="29">
        <v>250.0</v>
      </c>
      <c r="F113" s="24">
        <v>235.0</v>
      </c>
      <c r="G113" s="24">
        <v>235.0</v>
      </c>
      <c r="H113" s="24">
        <v>58750.0</v>
      </c>
      <c r="I113" s="24">
        <v>4025.53</v>
      </c>
      <c r="J113" s="24">
        <v>580.22</v>
      </c>
      <c r="K113" s="22" t="s">
        <v>109</v>
      </c>
      <c r="L113" s="29">
        <v>9.0</v>
      </c>
      <c r="M113" s="22" t="s">
        <v>184</v>
      </c>
    </row>
    <row r="114" ht="15.75" customHeight="1">
      <c r="A114" s="22" t="s">
        <v>230</v>
      </c>
      <c r="B114" s="23">
        <v>45955.0</v>
      </c>
      <c r="C114" s="22" t="s">
        <v>38</v>
      </c>
      <c r="D114" s="22" t="s">
        <v>10</v>
      </c>
      <c r="E114" s="29">
        <v>107.0</v>
      </c>
      <c r="F114" s="24">
        <v>845.0</v>
      </c>
      <c r="G114" s="24">
        <v>845.0</v>
      </c>
      <c r="H114" s="24">
        <v>90415.0</v>
      </c>
      <c r="I114" s="24">
        <v>2652.26</v>
      </c>
      <c r="J114" s="24">
        <v>491.13</v>
      </c>
      <c r="K114" s="22" t="s">
        <v>133</v>
      </c>
      <c r="L114" s="29">
        <v>1.0</v>
      </c>
      <c r="M114" s="22" t="s">
        <v>184</v>
      </c>
    </row>
    <row r="115" ht="15.75" customHeight="1">
      <c r="A115" s="22" t="s">
        <v>231</v>
      </c>
      <c r="B115" s="23">
        <v>45955.0</v>
      </c>
      <c r="C115" s="22" t="s">
        <v>56</v>
      </c>
      <c r="D115" s="22" t="s">
        <v>10</v>
      </c>
      <c r="E115" s="29">
        <v>366.0</v>
      </c>
      <c r="F115" s="24">
        <v>820.0</v>
      </c>
      <c r="G115" s="24">
        <v>820.0</v>
      </c>
      <c r="H115" s="24">
        <v>300120.0</v>
      </c>
      <c r="I115" s="24">
        <v>10069.41</v>
      </c>
      <c r="J115" s="24">
        <v>0.0</v>
      </c>
      <c r="K115" s="22" t="s">
        <v>116</v>
      </c>
      <c r="L115" s="29">
        <v>11.0</v>
      </c>
      <c r="M115" s="22" t="s">
        <v>184</v>
      </c>
    </row>
    <row r="116" ht="15.75" customHeight="1">
      <c r="A116" s="22" t="s">
        <v>232</v>
      </c>
      <c r="B116" s="23">
        <v>45956.0</v>
      </c>
      <c r="C116" s="22" t="s">
        <v>48</v>
      </c>
      <c r="D116" s="22" t="s">
        <v>10</v>
      </c>
      <c r="E116" s="29">
        <v>153.0</v>
      </c>
      <c r="F116" s="24">
        <v>850.0</v>
      </c>
      <c r="G116" s="24">
        <v>850.0</v>
      </c>
      <c r="H116" s="24">
        <v>130050.0</v>
      </c>
      <c r="I116" s="24">
        <v>7286.84</v>
      </c>
      <c r="J116" s="24">
        <v>0.0</v>
      </c>
      <c r="K116" s="22" t="s">
        <v>116</v>
      </c>
      <c r="L116" s="29">
        <v>3.0</v>
      </c>
      <c r="M116" s="22" t="s">
        <v>184</v>
      </c>
    </row>
    <row r="117" ht="15.75" customHeight="1">
      <c r="A117" s="22" t="s">
        <v>233</v>
      </c>
      <c r="B117" s="23">
        <v>45956.0</v>
      </c>
      <c r="C117" s="22" t="s">
        <v>48</v>
      </c>
      <c r="D117" s="22" t="s">
        <v>108</v>
      </c>
      <c r="E117" s="29">
        <v>682.0</v>
      </c>
      <c r="F117" s="24">
        <v>1300.0</v>
      </c>
      <c r="G117" s="24">
        <v>1300.0</v>
      </c>
      <c r="H117" s="24">
        <v>886600.0</v>
      </c>
      <c r="I117" s="24">
        <v>37995.03</v>
      </c>
      <c r="J117" s="24">
        <v>2922.55</v>
      </c>
      <c r="K117" s="22" t="s">
        <v>109</v>
      </c>
      <c r="L117" s="29">
        <v>12.0</v>
      </c>
      <c r="M117" s="22" t="s">
        <v>184</v>
      </c>
    </row>
    <row r="118" ht="15.75" customHeight="1">
      <c r="A118" s="22" t="s">
        <v>234</v>
      </c>
      <c r="B118" s="23">
        <v>45957.0</v>
      </c>
      <c r="C118" s="22" t="s">
        <v>38</v>
      </c>
      <c r="D118" s="22" t="s">
        <v>49</v>
      </c>
      <c r="E118" s="29">
        <v>129.0</v>
      </c>
      <c r="F118" s="24">
        <v>235.0</v>
      </c>
      <c r="G118" s="24">
        <v>235.0</v>
      </c>
      <c r="H118" s="24">
        <v>30315.0</v>
      </c>
      <c r="I118" s="24">
        <v>1351.33</v>
      </c>
      <c r="J118" s="24">
        <v>75.0</v>
      </c>
      <c r="K118" s="22" t="s">
        <v>112</v>
      </c>
      <c r="L118" s="29">
        <v>3.0</v>
      </c>
      <c r="M118" s="22" t="s">
        <v>184</v>
      </c>
    </row>
    <row r="119" ht="15.75" customHeight="1">
      <c r="A119" s="22" t="s">
        <v>235</v>
      </c>
      <c r="B119" s="23">
        <v>45957.0</v>
      </c>
      <c r="C119" s="22" t="s">
        <v>38</v>
      </c>
      <c r="D119" s="22" t="s">
        <v>10</v>
      </c>
      <c r="E119" s="29">
        <v>203.0</v>
      </c>
      <c r="F119" s="24">
        <v>845.0</v>
      </c>
      <c r="G119" s="24">
        <v>845.0</v>
      </c>
      <c r="H119" s="24">
        <v>171535.0</v>
      </c>
      <c r="I119" s="24">
        <v>8579.99</v>
      </c>
      <c r="J119" s="24">
        <v>1549.55</v>
      </c>
      <c r="K119" s="22" t="s">
        <v>109</v>
      </c>
      <c r="L119" s="29">
        <v>4.0</v>
      </c>
      <c r="M119" s="22" t="s">
        <v>184</v>
      </c>
    </row>
    <row r="120" ht="15.75" customHeight="1">
      <c r="A120" s="22" t="s">
        <v>236</v>
      </c>
      <c r="B120" s="23">
        <v>45958.0</v>
      </c>
      <c r="C120" s="22" t="s">
        <v>38</v>
      </c>
      <c r="D120" s="22" t="s">
        <v>49</v>
      </c>
      <c r="E120" s="29">
        <v>109.0</v>
      </c>
      <c r="F120" s="24">
        <v>235.0</v>
      </c>
      <c r="G120" s="24">
        <v>235.0</v>
      </c>
      <c r="H120" s="24">
        <v>25615.0</v>
      </c>
      <c r="I120" s="24">
        <v>1257.09</v>
      </c>
      <c r="J120" s="24">
        <v>346.77</v>
      </c>
      <c r="K120" s="22" t="s">
        <v>109</v>
      </c>
      <c r="L120" s="29">
        <v>3.0</v>
      </c>
      <c r="M120" s="22" t="s">
        <v>184</v>
      </c>
    </row>
    <row r="121" ht="15.75" customHeight="1">
      <c r="A121" s="22" t="s">
        <v>237</v>
      </c>
      <c r="B121" s="23">
        <v>45958.0</v>
      </c>
      <c r="C121" s="22" t="s">
        <v>38</v>
      </c>
      <c r="D121" s="22" t="s">
        <v>49</v>
      </c>
      <c r="E121" s="29">
        <v>369.0</v>
      </c>
      <c r="F121" s="24">
        <v>235.0</v>
      </c>
      <c r="G121" s="24">
        <v>235.0</v>
      </c>
      <c r="H121" s="24">
        <v>86715.0</v>
      </c>
      <c r="I121" s="24">
        <v>3967.87</v>
      </c>
      <c r="J121" s="24">
        <v>750.93</v>
      </c>
      <c r="K121" s="22" t="s">
        <v>109</v>
      </c>
      <c r="L121" s="29">
        <v>8.0</v>
      </c>
      <c r="M121" s="22" t="s">
        <v>184</v>
      </c>
    </row>
    <row r="122" ht="15.75" customHeight="1">
      <c r="A122" s="22" t="s">
        <v>238</v>
      </c>
      <c r="B122" s="23">
        <v>45958.0</v>
      </c>
      <c r="C122" s="22" t="s">
        <v>48</v>
      </c>
      <c r="D122" s="22" t="s">
        <v>10</v>
      </c>
      <c r="E122" s="29">
        <v>243.0</v>
      </c>
      <c r="F122" s="24">
        <v>850.0</v>
      </c>
      <c r="G122" s="24">
        <v>850.0</v>
      </c>
      <c r="H122" s="24">
        <v>206550.0</v>
      </c>
      <c r="I122" s="24">
        <v>7230.41</v>
      </c>
      <c r="J122" s="24">
        <v>2782.01</v>
      </c>
      <c r="K122" s="22" t="s">
        <v>114</v>
      </c>
      <c r="L122" s="29">
        <v>5.0</v>
      </c>
      <c r="M122" s="22" t="s">
        <v>184</v>
      </c>
    </row>
    <row r="123" ht="15.75" customHeight="1">
      <c r="A123" s="22" t="s">
        <v>239</v>
      </c>
      <c r="B123" s="23">
        <v>45959.0</v>
      </c>
      <c r="C123" s="22" t="s">
        <v>48</v>
      </c>
      <c r="D123" s="22" t="s">
        <v>49</v>
      </c>
      <c r="E123" s="29">
        <v>187.0</v>
      </c>
      <c r="F123" s="24">
        <v>240.0</v>
      </c>
      <c r="G123" s="24">
        <v>240.0</v>
      </c>
      <c r="H123" s="24">
        <v>44880.0</v>
      </c>
      <c r="I123" s="24">
        <v>1955.52</v>
      </c>
      <c r="J123" s="24">
        <v>0.0</v>
      </c>
      <c r="K123" s="22" t="s">
        <v>116</v>
      </c>
      <c r="L123" s="29">
        <v>6.0</v>
      </c>
      <c r="M123" s="22" t="s">
        <v>184</v>
      </c>
    </row>
    <row r="124" ht="15.75" customHeight="1">
      <c r="A124" s="22" t="s">
        <v>240</v>
      </c>
      <c r="B124" s="23">
        <v>45959.0</v>
      </c>
      <c r="C124" s="22" t="s">
        <v>38</v>
      </c>
      <c r="D124" s="22" t="s">
        <v>49</v>
      </c>
      <c r="E124" s="29">
        <v>77.0</v>
      </c>
      <c r="F124" s="24">
        <v>235.0</v>
      </c>
      <c r="G124" s="24">
        <v>235.0</v>
      </c>
      <c r="H124" s="24">
        <v>18095.0</v>
      </c>
      <c r="I124" s="24">
        <v>1263.37</v>
      </c>
      <c r="J124" s="24">
        <v>250.68</v>
      </c>
      <c r="K124" s="22" t="s">
        <v>109</v>
      </c>
      <c r="L124" s="29">
        <v>4.0</v>
      </c>
      <c r="M124" s="22" t="s">
        <v>184</v>
      </c>
    </row>
    <row r="125" ht="15.75" customHeight="1">
      <c r="A125" s="22" t="s">
        <v>241</v>
      </c>
      <c r="B125" s="23">
        <v>45959.0</v>
      </c>
      <c r="C125" s="22" t="s">
        <v>56</v>
      </c>
      <c r="D125" s="22" t="s">
        <v>10</v>
      </c>
      <c r="E125" s="29">
        <v>288.0</v>
      </c>
      <c r="F125" s="24">
        <v>820.0</v>
      </c>
      <c r="G125" s="24">
        <v>820.0</v>
      </c>
      <c r="H125" s="24">
        <v>236160.0</v>
      </c>
      <c r="I125" s="24">
        <v>3988.01</v>
      </c>
      <c r="J125" s="24">
        <v>0.0</v>
      </c>
      <c r="K125" s="22" t="s">
        <v>116</v>
      </c>
      <c r="L125" s="29">
        <v>8.0</v>
      </c>
      <c r="M125" s="22" t="s">
        <v>184</v>
      </c>
    </row>
    <row r="126" ht="15.75" customHeight="1">
      <c r="A126" s="22" t="s">
        <v>242</v>
      </c>
      <c r="B126" s="23">
        <v>45959.0</v>
      </c>
      <c r="C126" s="22" t="s">
        <v>56</v>
      </c>
      <c r="D126" s="22" t="s">
        <v>49</v>
      </c>
      <c r="E126" s="29">
        <v>327.0</v>
      </c>
      <c r="F126" s="24">
        <v>230.0</v>
      </c>
      <c r="G126" s="24">
        <v>230.0</v>
      </c>
      <c r="H126" s="24">
        <v>75210.0</v>
      </c>
      <c r="I126" s="24">
        <v>2073.78</v>
      </c>
      <c r="J126" s="24">
        <v>847.04</v>
      </c>
      <c r="K126" s="22" t="s">
        <v>133</v>
      </c>
      <c r="L126" s="29">
        <v>12.0</v>
      </c>
      <c r="M126" s="22" t="s">
        <v>184</v>
      </c>
    </row>
    <row r="127" ht="15.75" customHeight="1">
      <c r="A127" s="22" t="s">
        <v>243</v>
      </c>
      <c r="B127" s="23">
        <v>45959.0</v>
      </c>
      <c r="C127" s="22" t="s">
        <v>56</v>
      </c>
      <c r="D127" s="22" t="s">
        <v>10</v>
      </c>
      <c r="E127" s="29">
        <v>410.0</v>
      </c>
      <c r="F127" s="24">
        <v>820.0</v>
      </c>
      <c r="G127" s="24">
        <v>820.0</v>
      </c>
      <c r="H127" s="24">
        <v>336200.0</v>
      </c>
      <c r="I127" s="24">
        <v>12474.56</v>
      </c>
      <c r="J127" s="24">
        <v>3687.16</v>
      </c>
      <c r="K127" s="22" t="s">
        <v>109</v>
      </c>
      <c r="L127" s="29">
        <v>13.0</v>
      </c>
      <c r="M127" s="22" t="s">
        <v>184</v>
      </c>
    </row>
    <row r="128" ht="15.75" customHeight="1">
      <c r="A128" s="22" t="s">
        <v>244</v>
      </c>
      <c r="B128" s="23">
        <v>45960.0</v>
      </c>
      <c r="C128" s="22" t="s">
        <v>48</v>
      </c>
      <c r="D128" s="22" t="s">
        <v>10</v>
      </c>
      <c r="E128" s="29">
        <v>313.0</v>
      </c>
      <c r="F128" s="24">
        <v>850.0</v>
      </c>
      <c r="G128" s="24">
        <v>850.0</v>
      </c>
      <c r="H128" s="24">
        <v>266050.0</v>
      </c>
      <c r="I128" s="24">
        <v>10821.37</v>
      </c>
      <c r="J128" s="24">
        <v>3145.61</v>
      </c>
      <c r="K128" s="22" t="s">
        <v>133</v>
      </c>
      <c r="L128" s="29">
        <v>8.0</v>
      </c>
      <c r="M128" s="22" t="s">
        <v>184</v>
      </c>
    </row>
    <row r="129" ht="15.75" customHeight="1">
      <c r="A129" s="22" t="s">
        <v>245</v>
      </c>
      <c r="B129" s="23">
        <v>45960.0</v>
      </c>
      <c r="C129" s="22" t="s">
        <v>48</v>
      </c>
      <c r="D129" s="22" t="s">
        <v>10</v>
      </c>
      <c r="E129" s="29">
        <v>246.0</v>
      </c>
      <c r="F129" s="24">
        <v>850.0</v>
      </c>
      <c r="G129" s="24">
        <v>850.0</v>
      </c>
      <c r="H129" s="24">
        <v>209100.0</v>
      </c>
      <c r="I129" s="24">
        <v>5081.83</v>
      </c>
      <c r="J129" s="24">
        <v>1795.5</v>
      </c>
      <c r="K129" s="22" t="s">
        <v>133</v>
      </c>
      <c r="L129" s="29">
        <v>3.0</v>
      </c>
      <c r="M129" s="22" t="s">
        <v>184</v>
      </c>
    </row>
    <row r="130" ht="15.75" customHeight="1">
      <c r="A130" s="22" t="s">
        <v>246</v>
      </c>
      <c r="B130" s="23">
        <v>45961.0</v>
      </c>
      <c r="C130" s="22" t="s">
        <v>38</v>
      </c>
      <c r="D130" s="22" t="s">
        <v>108</v>
      </c>
      <c r="E130" s="29">
        <v>194.0</v>
      </c>
      <c r="F130" s="24">
        <v>1290.0</v>
      </c>
      <c r="G130" s="24">
        <v>1290.0</v>
      </c>
      <c r="H130" s="24">
        <v>250260.0</v>
      </c>
      <c r="I130" s="24">
        <v>9359.69</v>
      </c>
      <c r="J130" s="24">
        <v>0.0</v>
      </c>
      <c r="K130" s="22" t="s">
        <v>116</v>
      </c>
      <c r="L130" s="29">
        <v>3.0</v>
      </c>
      <c r="M130" s="22" t="s">
        <v>184</v>
      </c>
    </row>
    <row r="131" ht="15.75" customHeight="1">
      <c r="A131" s="22" t="s">
        <v>247</v>
      </c>
      <c r="B131" s="23">
        <v>45961.0</v>
      </c>
      <c r="C131" s="22" t="s">
        <v>48</v>
      </c>
      <c r="D131" s="22" t="s">
        <v>10</v>
      </c>
      <c r="E131" s="29">
        <v>325.0</v>
      </c>
      <c r="F131" s="24">
        <v>850.0</v>
      </c>
      <c r="G131" s="24">
        <v>850.0</v>
      </c>
      <c r="H131" s="24">
        <v>276250.0</v>
      </c>
      <c r="I131" s="24">
        <v>11490.9</v>
      </c>
      <c r="J131" s="24">
        <v>0.0</v>
      </c>
      <c r="K131" s="22" t="s">
        <v>116</v>
      </c>
      <c r="L131" s="29">
        <v>9.0</v>
      </c>
      <c r="M131" s="22" t="s">
        <v>184</v>
      </c>
    </row>
    <row r="132" ht="15.75" customHeight="1">
      <c r="A132" s="22" t="s">
        <v>248</v>
      </c>
      <c r="B132" s="23">
        <v>45961.0</v>
      </c>
      <c r="C132" s="22" t="s">
        <v>48</v>
      </c>
      <c r="D132" s="22" t="s">
        <v>49</v>
      </c>
      <c r="E132" s="29">
        <v>362.0</v>
      </c>
      <c r="F132" s="24">
        <v>240.0</v>
      </c>
      <c r="G132" s="24">
        <v>240.0</v>
      </c>
      <c r="H132" s="24">
        <v>86880.0</v>
      </c>
      <c r="I132" s="24">
        <v>3082.98</v>
      </c>
      <c r="J132" s="24">
        <v>0.0</v>
      </c>
      <c r="K132" s="22" t="s">
        <v>116</v>
      </c>
      <c r="L132" s="29">
        <v>14.0</v>
      </c>
      <c r="M132" s="22" t="s">
        <v>184</v>
      </c>
    </row>
    <row r="133" ht="15.75" customHeight="1">
      <c r="A133" s="22" t="s">
        <v>249</v>
      </c>
      <c r="B133" s="23">
        <v>45962.0</v>
      </c>
      <c r="C133" s="22" t="s">
        <v>56</v>
      </c>
      <c r="D133" s="22" t="s">
        <v>10</v>
      </c>
      <c r="E133" s="29">
        <v>215.0</v>
      </c>
      <c r="F133" s="24">
        <v>820.0</v>
      </c>
      <c r="G133" s="24">
        <v>820.0</v>
      </c>
      <c r="H133" s="24">
        <v>176300.0</v>
      </c>
      <c r="I133" s="24">
        <v>6145.35</v>
      </c>
      <c r="J133" s="24">
        <v>467.27</v>
      </c>
      <c r="K133" s="22" t="s">
        <v>112</v>
      </c>
      <c r="L133" s="29">
        <v>6.0</v>
      </c>
      <c r="M133" s="22" t="s">
        <v>250</v>
      </c>
    </row>
    <row r="134" ht="15.75" customHeight="1">
      <c r="A134" s="22" t="s">
        <v>251</v>
      </c>
      <c r="B134" s="23">
        <v>45962.0</v>
      </c>
      <c r="C134" s="22" t="s">
        <v>38</v>
      </c>
      <c r="D134" s="22" t="s">
        <v>108</v>
      </c>
      <c r="E134" s="29">
        <v>129.0</v>
      </c>
      <c r="F134" s="24">
        <v>1290.0</v>
      </c>
      <c r="G134" s="24">
        <v>1290.0</v>
      </c>
      <c r="H134" s="24">
        <v>166410.0</v>
      </c>
      <c r="I134" s="24">
        <v>7850.14</v>
      </c>
      <c r="J134" s="24">
        <v>0.0</v>
      </c>
      <c r="K134" s="22" t="s">
        <v>116</v>
      </c>
      <c r="L134" s="29">
        <v>2.0</v>
      </c>
      <c r="M134" s="22" t="s">
        <v>250</v>
      </c>
    </row>
    <row r="135" ht="15.75" customHeight="1">
      <c r="A135" s="22" t="s">
        <v>252</v>
      </c>
      <c r="B135" s="23">
        <v>45962.0</v>
      </c>
      <c r="C135" s="22" t="s">
        <v>48</v>
      </c>
      <c r="D135" s="22" t="s">
        <v>10</v>
      </c>
      <c r="E135" s="29">
        <v>378.0</v>
      </c>
      <c r="F135" s="24">
        <v>850.0</v>
      </c>
      <c r="G135" s="24">
        <v>850.0</v>
      </c>
      <c r="H135" s="24">
        <v>321300.0</v>
      </c>
      <c r="I135" s="24">
        <v>10120.1</v>
      </c>
      <c r="J135" s="24">
        <v>422.01</v>
      </c>
      <c r="K135" s="22" t="s">
        <v>109</v>
      </c>
      <c r="L135" s="29">
        <v>7.0</v>
      </c>
      <c r="M135" s="22" t="s">
        <v>250</v>
      </c>
    </row>
    <row r="136" ht="15.75" customHeight="1">
      <c r="A136" s="22" t="s">
        <v>253</v>
      </c>
      <c r="B136" s="23">
        <v>45963.0</v>
      </c>
      <c r="C136" s="22" t="s">
        <v>38</v>
      </c>
      <c r="D136" s="22" t="s">
        <v>49</v>
      </c>
      <c r="E136" s="29">
        <v>275.0</v>
      </c>
      <c r="F136" s="24">
        <v>235.0</v>
      </c>
      <c r="G136" s="24">
        <v>235.0</v>
      </c>
      <c r="H136" s="24">
        <v>64625.0</v>
      </c>
      <c r="I136" s="24">
        <v>4173.39</v>
      </c>
      <c r="J136" s="24">
        <v>177.56</v>
      </c>
      <c r="K136" s="22" t="s">
        <v>112</v>
      </c>
      <c r="L136" s="29">
        <v>9.0</v>
      </c>
      <c r="M136" s="22" t="s">
        <v>250</v>
      </c>
    </row>
    <row r="137" ht="15.75" customHeight="1">
      <c r="A137" s="22" t="s">
        <v>254</v>
      </c>
      <c r="B137" s="23">
        <v>45963.0</v>
      </c>
      <c r="C137" s="22" t="s">
        <v>48</v>
      </c>
      <c r="D137" s="22" t="s">
        <v>10</v>
      </c>
      <c r="E137" s="29">
        <v>172.0</v>
      </c>
      <c r="F137" s="24">
        <v>850.0</v>
      </c>
      <c r="G137" s="24">
        <v>850.0</v>
      </c>
      <c r="H137" s="24">
        <v>146200.0</v>
      </c>
      <c r="I137" s="24">
        <v>5265.44</v>
      </c>
      <c r="J137" s="24">
        <v>585.29</v>
      </c>
      <c r="K137" s="22" t="s">
        <v>133</v>
      </c>
      <c r="L137" s="29">
        <v>5.0</v>
      </c>
      <c r="M137" s="22" t="s">
        <v>250</v>
      </c>
    </row>
    <row r="138" ht="15.75" customHeight="1">
      <c r="A138" s="22" t="s">
        <v>255</v>
      </c>
      <c r="B138" s="23">
        <v>45964.0</v>
      </c>
      <c r="C138" s="22" t="s">
        <v>56</v>
      </c>
      <c r="D138" s="22" t="s">
        <v>10</v>
      </c>
      <c r="E138" s="29">
        <v>351.0</v>
      </c>
      <c r="F138" s="24">
        <v>820.0</v>
      </c>
      <c r="G138" s="24">
        <v>820.0</v>
      </c>
      <c r="H138" s="24">
        <v>287820.0</v>
      </c>
      <c r="I138" s="24">
        <v>3019.57</v>
      </c>
      <c r="J138" s="24">
        <v>3301.65</v>
      </c>
      <c r="K138" s="22" t="s">
        <v>114</v>
      </c>
      <c r="L138" s="29">
        <v>11.0</v>
      </c>
      <c r="M138" s="22" t="s">
        <v>250</v>
      </c>
    </row>
    <row r="139" ht="15.75" customHeight="1">
      <c r="A139" s="22" t="s">
        <v>256</v>
      </c>
      <c r="B139" s="23">
        <v>45965.0</v>
      </c>
      <c r="C139" s="22" t="s">
        <v>56</v>
      </c>
      <c r="D139" s="22" t="s">
        <v>49</v>
      </c>
      <c r="E139" s="29">
        <v>153.0</v>
      </c>
      <c r="F139" s="24">
        <v>230.0</v>
      </c>
      <c r="G139" s="24">
        <v>230.0</v>
      </c>
      <c r="H139" s="24">
        <v>35190.0</v>
      </c>
      <c r="I139" s="24">
        <v>884.46</v>
      </c>
      <c r="J139" s="24">
        <v>0.0</v>
      </c>
      <c r="K139" s="22" t="s">
        <v>116</v>
      </c>
      <c r="L139" s="29">
        <v>8.0</v>
      </c>
      <c r="M139" s="22" t="s">
        <v>250</v>
      </c>
    </row>
    <row r="140" ht="15.75" customHeight="1">
      <c r="A140" s="22" t="s">
        <v>257</v>
      </c>
      <c r="B140" s="23">
        <v>45965.0</v>
      </c>
      <c r="C140" s="22" t="s">
        <v>38</v>
      </c>
      <c r="D140" s="22" t="s">
        <v>49</v>
      </c>
      <c r="E140" s="29">
        <v>169.0</v>
      </c>
      <c r="F140" s="24">
        <v>235.0</v>
      </c>
      <c r="G140" s="24">
        <v>235.0</v>
      </c>
      <c r="H140" s="24">
        <v>39715.0</v>
      </c>
      <c r="I140" s="24">
        <v>2043.39</v>
      </c>
      <c r="J140" s="24">
        <v>0.0</v>
      </c>
      <c r="K140" s="22" t="s">
        <v>116</v>
      </c>
      <c r="L140" s="29">
        <v>6.0</v>
      </c>
      <c r="M140" s="22" t="s">
        <v>250</v>
      </c>
    </row>
    <row r="141" ht="15.75" customHeight="1">
      <c r="A141" s="22" t="s">
        <v>258</v>
      </c>
      <c r="B141" s="23">
        <v>45965.0</v>
      </c>
      <c r="C141" s="22" t="s">
        <v>48</v>
      </c>
      <c r="D141" s="22" t="s">
        <v>49</v>
      </c>
      <c r="E141" s="29">
        <v>77.0</v>
      </c>
      <c r="F141" s="24">
        <v>240.0</v>
      </c>
      <c r="G141" s="24">
        <v>240.0</v>
      </c>
      <c r="H141" s="24">
        <v>18480.0</v>
      </c>
      <c r="I141" s="24">
        <v>679.85</v>
      </c>
      <c r="J141" s="24">
        <v>116.57</v>
      </c>
      <c r="K141" s="22" t="s">
        <v>109</v>
      </c>
      <c r="L141" s="29">
        <v>5.0</v>
      </c>
      <c r="M141" s="22" t="s">
        <v>250</v>
      </c>
    </row>
    <row r="142" ht="15.75" customHeight="1">
      <c r="A142" s="22" t="s">
        <v>259</v>
      </c>
      <c r="B142" s="23">
        <v>45965.0</v>
      </c>
      <c r="C142" s="22" t="s">
        <v>38</v>
      </c>
      <c r="D142" s="22" t="s">
        <v>10</v>
      </c>
      <c r="E142" s="29">
        <v>379.0</v>
      </c>
      <c r="F142" s="24">
        <v>845.0</v>
      </c>
      <c r="G142" s="24">
        <v>845.0</v>
      </c>
      <c r="H142" s="24">
        <v>320255.0</v>
      </c>
      <c r="I142" s="24">
        <v>10272.78</v>
      </c>
      <c r="J142" s="24">
        <v>5451.91</v>
      </c>
      <c r="K142" s="22" t="s">
        <v>114</v>
      </c>
      <c r="L142" s="29">
        <v>5.0</v>
      </c>
      <c r="M142" s="22" t="s">
        <v>250</v>
      </c>
    </row>
    <row r="143" ht="15.75" customHeight="1">
      <c r="A143" s="22" t="s">
        <v>260</v>
      </c>
      <c r="B143" s="23">
        <v>45965.0</v>
      </c>
      <c r="C143" s="22" t="s">
        <v>56</v>
      </c>
      <c r="D143" s="22" t="s">
        <v>10</v>
      </c>
      <c r="E143" s="29">
        <v>121.0</v>
      </c>
      <c r="F143" s="24">
        <v>820.0</v>
      </c>
      <c r="G143" s="24">
        <v>820.0</v>
      </c>
      <c r="H143" s="24">
        <v>99220.0</v>
      </c>
      <c r="I143" s="24">
        <v>1651.69</v>
      </c>
      <c r="J143" s="24">
        <v>1110.61</v>
      </c>
      <c r="K143" s="22" t="s">
        <v>114</v>
      </c>
      <c r="L143" s="29">
        <v>2.0</v>
      </c>
      <c r="M143" s="22" t="s">
        <v>250</v>
      </c>
    </row>
    <row r="144" ht="15.75" customHeight="1">
      <c r="A144" s="22" t="s">
        <v>261</v>
      </c>
      <c r="B144" s="23">
        <v>45966.0</v>
      </c>
      <c r="C144" s="22" t="s">
        <v>38</v>
      </c>
      <c r="D144" s="22" t="s">
        <v>49</v>
      </c>
      <c r="E144" s="29">
        <v>194.0</v>
      </c>
      <c r="F144" s="24">
        <v>235.0</v>
      </c>
      <c r="G144" s="24">
        <v>235.0</v>
      </c>
      <c r="H144" s="24">
        <v>45590.0</v>
      </c>
      <c r="I144" s="24">
        <v>1133.46</v>
      </c>
      <c r="J144" s="24">
        <v>308.9</v>
      </c>
      <c r="K144" s="22" t="s">
        <v>133</v>
      </c>
      <c r="L144" s="29">
        <v>6.0</v>
      </c>
      <c r="M144" s="22" t="s">
        <v>250</v>
      </c>
    </row>
    <row r="145" ht="15.75" customHeight="1">
      <c r="A145" s="22" t="s">
        <v>262</v>
      </c>
      <c r="B145" s="23">
        <v>45966.0</v>
      </c>
      <c r="C145" s="22" t="s">
        <v>38</v>
      </c>
      <c r="D145" s="22" t="s">
        <v>10</v>
      </c>
      <c r="E145" s="29">
        <v>84.0</v>
      </c>
      <c r="F145" s="24">
        <v>845.0</v>
      </c>
      <c r="G145" s="24">
        <v>845.0</v>
      </c>
      <c r="H145" s="24">
        <v>70980.0</v>
      </c>
      <c r="I145" s="24">
        <v>4721.13</v>
      </c>
      <c r="J145" s="24">
        <v>1087.87</v>
      </c>
      <c r="K145" s="22" t="s">
        <v>109</v>
      </c>
      <c r="L145" s="29">
        <v>1.0</v>
      </c>
      <c r="M145" s="22" t="s">
        <v>250</v>
      </c>
    </row>
    <row r="146" ht="15.75" customHeight="1">
      <c r="A146" s="22" t="s">
        <v>263</v>
      </c>
      <c r="B146" s="23">
        <v>45966.0</v>
      </c>
      <c r="C146" s="22" t="s">
        <v>56</v>
      </c>
      <c r="D146" s="22" t="s">
        <v>49</v>
      </c>
      <c r="E146" s="29">
        <v>172.0</v>
      </c>
      <c r="F146" s="24">
        <v>230.0</v>
      </c>
      <c r="G146" s="24">
        <v>230.0</v>
      </c>
      <c r="H146" s="24">
        <v>39560.0</v>
      </c>
      <c r="I146" s="24">
        <v>1358.49</v>
      </c>
      <c r="J146" s="24">
        <v>101.2</v>
      </c>
      <c r="K146" s="22" t="s">
        <v>133</v>
      </c>
      <c r="L146" s="29">
        <v>7.0</v>
      </c>
      <c r="M146" s="22" t="s">
        <v>250</v>
      </c>
    </row>
    <row r="147" ht="15.75" customHeight="1">
      <c r="A147" s="22" t="s">
        <v>264</v>
      </c>
      <c r="B147" s="23">
        <v>45967.0</v>
      </c>
      <c r="C147" s="22" t="s">
        <v>48</v>
      </c>
      <c r="D147" s="22" t="s">
        <v>10</v>
      </c>
      <c r="E147" s="29">
        <v>232.0</v>
      </c>
      <c r="F147" s="24">
        <v>850.0</v>
      </c>
      <c r="G147" s="24">
        <v>850.0</v>
      </c>
      <c r="H147" s="24">
        <v>197200.0</v>
      </c>
      <c r="I147" s="24">
        <v>6982.34</v>
      </c>
      <c r="J147" s="24">
        <v>1946.74</v>
      </c>
      <c r="K147" s="22" t="s">
        <v>109</v>
      </c>
      <c r="L147" s="29">
        <v>3.0</v>
      </c>
      <c r="M147" s="22" t="s">
        <v>250</v>
      </c>
    </row>
    <row r="148" ht="15.75" customHeight="1">
      <c r="A148" s="22" t="s">
        <v>265</v>
      </c>
      <c r="B148" s="23">
        <v>45968.0</v>
      </c>
      <c r="C148" s="22" t="s">
        <v>48</v>
      </c>
      <c r="D148" s="22" t="s">
        <v>49</v>
      </c>
      <c r="E148" s="29">
        <v>109.0</v>
      </c>
      <c r="F148" s="24">
        <v>240.0</v>
      </c>
      <c r="G148" s="24">
        <v>240.0</v>
      </c>
      <c r="H148" s="24">
        <v>26160.0</v>
      </c>
      <c r="I148" s="24">
        <v>1168.27</v>
      </c>
      <c r="J148" s="24">
        <v>0.0</v>
      </c>
      <c r="K148" s="22" t="s">
        <v>116</v>
      </c>
      <c r="L148" s="29">
        <v>0.0</v>
      </c>
      <c r="M148" s="22" t="s">
        <v>250</v>
      </c>
    </row>
    <row r="149" ht="15.75" customHeight="1">
      <c r="A149" s="22" t="s">
        <v>266</v>
      </c>
      <c r="B149" s="23">
        <v>45968.0</v>
      </c>
      <c r="C149" s="22" t="s">
        <v>48</v>
      </c>
      <c r="D149" s="22" t="s">
        <v>108</v>
      </c>
      <c r="E149" s="29">
        <v>271.0</v>
      </c>
      <c r="F149" s="24">
        <v>1300.0</v>
      </c>
      <c r="G149" s="24">
        <v>1300.0</v>
      </c>
      <c r="H149" s="24">
        <v>352300.0</v>
      </c>
      <c r="I149" s="24">
        <v>18197.46</v>
      </c>
      <c r="J149" s="24">
        <v>0.0</v>
      </c>
      <c r="K149" s="22" t="s">
        <v>116</v>
      </c>
      <c r="L149" s="29">
        <v>4.0</v>
      </c>
      <c r="M149" s="22" t="s">
        <v>250</v>
      </c>
    </row>
    <row r="150" ht="15.75" customHeight="1">
      <c r="A150" s="22" t="s">
        <v>267</v>
      </c>
      <c r="B150" s="23">
        <v>45968.0</v>
      </c>
      <c r="C150" s="22" t="s">
        <v>38</v>
      </c>
      <c r="D150" s="22" t="s">
        <v>10</v>
      </c>
      <c r="E150" s="29">
        <v>275.0</v>
      </c>
      <c r="F150" s="24">
        <v>845.0</v>
      </c>
      <c r="G150" s="24">
        <v>845.0</v>
      </c>
      <c r="H150" s="24">
        <v>232375.0</v>
      </c>
      <c r="I150" s="24">
        <v>9054.66</v>
      </c>
      <c r="J150" s="24">
        <v>628.55</v>
      </c>
      <c r="K150" s="22" t="s">
        <v>109</v>
      </c>
      <c r="L150" s="29">
        <v>9.0</v>
      </c>
      <c r="M150" s="22" t="s">
        <v>250</v>
      </c>
    </row>
    <row r="151" ht="15.75" customHeight="1">
      <c r="A151" s="22" t="s">
        <v>268</v>
      </c>
      <c r="B151" s="23">
        <v>45969.0</v>
      </c>
      <c r="C151" s="22" t="s">
        <v>48</v>
      </c>
      <c r="D151" s="22" t="s">
        <v>49</v>
      </c>
      <c r="E151" s="29">
        <v>257.0</v>
      </c>
      <c r="F151" s="24">
        <v>240.0</v>
      </c>
      <c r="G151" s="24">
        <v>240.0</v>
      </c>
      <c r="H151" s="24">
        <v>61680.0</v>
      </c>
      <c r="I151" s="24">
        <v>1759.83</v>
      </c>
      <c r="J151" s="24">
        <v>724.74</v>
      </c>
      <c r="K151" s="22" t="s">
        <v>112</v>
      </c>
      <c r="L151" s="29">
        <v>12.0</v>
      </c>
      <c r="M151" s="22" t="s">
        <v>250</v>
      </c>
    </row>
    <row r="152" ht="15.75" customHeight="1">
      <c r="A152" s="22" t="s">
        <v>269</v>
      </c>
      <c r="B152" s="23">
        <v>45969.0</v>
      </c>
      <c r="C152" s="22" t="s">
        <v>56</v>
      </c>
      <c r="D152" s="22" t="s">
        <v>10</v>
      </c>
      <c r="E152" s="29">
        <v>164.0</v>
      </c>
      <c r="F152" s="24">
        <v>820.0</v>
      </c>
      <c r="G152" s="24">
        <v>820.0</v>
      </c>
      <c r="H152" s="24">
        <v>134480.0</v>
      </c>
      <c r="I152" s="24">
        <v>3367.67</v>
      </c>
      <c r="J152" s="24">
        <v>0.0</v>
      </c>
      <c r="K152" s="22" t="s">
        <v>116</v>
      </c>
      <c r="L152" s="29">
        <v>3.0</v>
      </c>
      <c r="M152" s="22" t="s">
        <v>250</v>
      </c>
    </row>
    <row r="153" ht="15.75" customHeight="1">
      <c r="A153" s="22" t="s">
        <v>270</v>
      </c>
      <c r="B153" s="23">
        <v>45969.0</v>
      </c>
      <c r="C153" s="22" t="s">
        <v>56</v>
      </c>
      <c r="D153" s="22" t="s">
        <v>10</v>
      </c>
      <c r="E153" s="29">
        <v>125.0</v>
      </c>
      <c r="F153" s="24">
        <v>820.0</v>
      </c>
      <c r="G153" s="24">
        <v>820.0</v>
      </c>
      <c r="H153" s="24">
        <v>102500.0</v>
      </c>
      <c r="I153" s="24">
        <v>3400.23</v>
      </c>
      <c r="J153" s="24">
        <v>0.0</v>
      </c>
      <c r="K153" s="22" t="s">
        <v>116</v>
      </c>
      <c r="L153" s="29">
        <v>3.0</v>
      </c>
      <c r="M153" s="22" t="s">
        <v>250</v>
      </c>
    </row>
    <row r="154" ht="15.75" customHeight="1">
      <c r="A154" s="22" t="s">
        <v>271</v>
      </c>
      <c r="B154" s="23">
        <v>45969.0</v>
      </c>
      <c r="C154" s="22" t="s">
        <v>56</v>
      </c>
      <c r="D154" s="22" t="s">
        <v>108</v>
      </c>
      <c r="E154" s="29">
        <v>243.0</v>
      </c>
      <c r="F154" s="24">
        <v>1250.0</v>
      </c>
      <c r="G154" s="24">
        <v>1250.0</v>
      </c>
      <c r="H154" s="24">
        <v>303750.0</v>
      </c>
      <c r="I154" s="24">
        <v>10934.68</v>
      </c>
      <c r="J154" s="24">
        <v>0.0</v>
      </c>
      <c r="K154" s="22" t="s">
        <v>116</v>
      </c>
      <c r="L154" s="29">
        <v>5.0</v>
      </c>
      <c r="M154" s="22" t="s">
        <v>250</v>
      </c>
    </row>
    <row r="155" ht="15.75" customHeight="1">
      <c r="A155" s="22" t="s">
        <v>272</v>
      </c>
      <c r="B155" s="23">
        <v>45969.0</v>
      </c>
      <c r="C155" s="22" t="s">
        <v>48</v>
      </c>
      <c r="D155" s="22" t="s">
        <v>108</v>
      </c>
      <c r="E155" s="29">
        <v>325.0</v>
      </c>
      <c r="F155" s="24">
        <v>1300.0</v>
      </c>
      <c r="G155" s="24">
        <v>1300.0</v>
      </c>
      <c r="H155" s="24">
        <v>422500.0</v>
      </c>
      <c r="I155" s="24">
        <v>16099.86</v>
      </c>
      <c r="J155" s="24">
        <v>2281.59</v>
      </c>
      <c r="K155" s="22" t="s">
        <v>112</v>
      </c>
      <c r="L155" s="29">
        <v>7.0</v>
      </c>
      <c r="M155" s="22" t="s">
        <v>250</v>
      </c>
    </row>
    <row r="156" ht="15.75" customHeight="1">
      <c r="A156" s="22" t="s">
        <v>273</v>
      </c>
      <c r="B156" s="23">
        <v>45970.0</v>
      </c>
      <c r="C156" s="22" t="s">
        <v>38</v>
      </c>
      <c r="D156" s="22" t="s">
        <v>10</v>
      </c>
      <c r="E156" s="29">
        <v>51.0</v>
      </c>
      <c r="F156" s="24">
        <v>845.0</v>
      </c>
      <c r="G156" s="24">
        <v>845.0</v>
      </c>
      <c r="H156" s="24">
        <v>43095.0</v>
      </c>
      <c r="I156" s="24">
        <v>1786.03</v>
      </c>
      <c r="J156" s="24">
        <v>758.51</v>
      </c>
      <c r="K156" s="22" t="s">
        <v>114</v>
      </c>
      <c r="L156" s="29">
        <v>0.0</v>
      </c>
      <c r="M156" s="22" t="s">
        <v>250</v>
      </c>
    </row>
    <row r="157" ht="15.75" customHeight="1">
      <c r="A157" s="22" t="s">
        <v>274</v>
      </c>
      <c r="B157" s="23">
        <v>45970.0</v>
      </c>
      <c r="C157" s="22" t="s">
        <v>48</v>
      </c>
      <c r="D157" s="22" t="s">
        <v>10</v>
      </c>
      <c r="E157" s="29">
        <v>261.0</v>
      </c>
      <c r="F157" s="24">
        <v>850.0</v>
      </c>
      <c r="G157" s="24">
        <v>850.0</v>
      </c>
      <c r="H157" s="24">
        <v>221850.0</v>
      </c>
      <c r="I157" s="24">
        <v>5503.67</v>
      </c>
      <c r="J157" s="24">
        <v>905.69</v>
      </c>
      <c r="K157" s="22" t="s">
        <v>114</v>
      </c>
      <c r="L157" s="29">
        <v>4.0</v>
      </c>
      <c r="M157" s="22" t="s">
        <v>250</v>
      </c>
    </row>
    <row r="158" ht="15.75" customHeight="1">
      <c r="A158" s="22" t="s">
        <v>275</v>
      </c>
      <c r="B158" s="23">
        <v>45971.0</v>
      </c>
      <c r="C158" s="22" t="s">
        <v>48</v>
      </c>
      <c r="D158" s="22" t="s">
        <v>10</v>
      </c>
      <c r="E158" s="29">
        <v>772.0</v>
      </c>
      <c r="F158" s="24">
        <v>850.0</v>
      </c>
      <c r="G158" s="24">
        <v>850.0</v>
      </c>
      <c r="H158" s="24">
        <v>656200.0</v>
      </c>
      <c r="I158" s="24">
        <v>23968.63</v>
      </c>
      <c r="J158" s="24">
        <v>0.0</v>
      </c>
      <c r="K158" s="22" t="s">
        <v>116</v>
      </c>
      <c r="L158" s="29">
        <v>20.0</v>
      </c>
      <c r="M158" s="22" t="s">
        <v>250</v>
      </c>
    </row>
    <row r="159" ht="15.75" customHeight="1">
      <c r="A159" s="22" t="s">
        <v>276</v>
      </c>
      <c r="B159" s="23">
        <v>45971.0</v>
      </c>
      <c r="C159" s="22" t="s">
        <v>38</v>
      </c>
      <c r="D159" s="22" t="s">
        <v>10</v>
      </c>
      <c r="E159" s="29">
        <v>260.0</v>
      </c>
      <c r="F159" s="24">
        <v>845.0</v>
      </c>
      <c r="G159" s="24">
        <v>845.0</v>
      </c>
      <c r="H159" s="24">
        <v>219700.0</v>
      </c>
      <c r="I159" s="24">
        <v>8534.41</v>
      </c>
      <c r="J159" s="24">
        <v>0.0</v>
      </c>
      <c r="K159" s="22" t="s">
        <v>116</v>
      </c>
      <c r="L159" s="29">
        <v>5.0</v>
      </c>
      <c r="M159" s="22" t="s">
        <v>250</v>
      </c>
    </row>
    <row r="160" ht="15.75" customHeight="1">
      <c r="A160" s="22" t="s">
        <v>277</v>
      </c>
      <c r="B160" s="23">
        <v>45971.0</v>
      </c>
      <c r="C160" s="22" t="s">
        <v>48</v>
      </c>
      <c r="D160" s="22" t="s">
        <v>10</v>
      </c>
      <c r="E160" s="29">
        <v>304.0</v>
      </c>
      <c r="F160" s="24">
        <v>850.0</v>
      </c>
      <c r="G160" s="24">
        <v>850.0</v>
      </c>
      <c r="H160" s="24">
        <v>258400.0</v>
      </c>
      <c r="I160" s="24">
        <v>13309.03</v>
      </c>
      <c r="J160" s="24">
        <v>2922.77</v>
      </c>
      <c r="K160" s="22" t="s">
        <v>114</v>
      </c>
      <c r="L160" s="29">
        <v>7.0</v>
      </c>
      <c r="M160" s="22" t="s">
        <v>250</v>
      </c>
    </row>
    <row r="161" ht="15.75" customHeight="1">
      <c r="A161" s="22" t="s">
        <v>278</v>
      </c>
      <c r="B161" s="23">
        <v>45971.0</v>
      </c>
      <c r="C161" s="22" t="s">
        <v>38</v>
      </c>
      <c r="D161" s="22" t="s">
        <v>49</v>
      </c>
      <c r="E161" s="29">
        <v>687.0</v>
      </c>
      <c r="F161" s="24">
        <v>235.0</v>
      </c>
      <c r="G161" s="24">
        <v>235.0</v>
      </c>
      <c r="H161" s="24">
        <v>161445.0</v>
      </c>
      <c r="I161" s="24">
        <v>4674.98</v>
      </c>
      <c r="J161" s="24">
        <v>1624.98</v>
      </c>
      <c r="K161" s="22" t="s">
        <v>112</v>
      </c>
      <c r="L161" s="29">
        <v>22.0</v>
      </c>
      <c r="M161" s="22" t="s">
        <v>250</v>
      </c>
    </row>
    <row r="162" ht="15.75" customHeight="1">
      <c r="A162" s="22" t="s">
        <v>279</v>
      </c>
      <c r="B162" s="23">
        <v>45971.0</v>
      </c>
      <c r="C162" s="22" t="s">
        <v>48</v>
      </c>
      <c r="D162" s="22" t="s">
        <v>49</v>
      </c>
      <c r="E162" s="29">
        <v>217.0</v>
      </c>
      <c r="F162" s="24">
        <v>240.0</v>
      </c>
      <c r="G162" s="24">
        <v>240.0</v>
      </c>
      <c r="H162" s="24">
        <v>52080.0</v>
      </c>
      <c r="I162" s="24">
        <v>923.93</v>
      </c>
      <c r="J162" s="24">
        <v>0.0</v>
      </c>
      <c r="K162" s="22" t="s">
        <v>116</v>
      </c>
      <c r="L162" s="29">
        <v>5.0</v>
      </c>
      <c r="M162" s="22" t="s">
        <v>250</v>
      </c>
    </row>
    <row r="163" ht="15.75" customHeight="1">
      <c r="A163" s="22" t="s">
        <v>280</v>
      </c>
      <c r="B163" s="23">
        <v>45972.0</v>
      </c>
      <c r="C163" s="22" t="s">
        <v>48</v>
      </c>
      <c r="D163" s="22" t="s">
        <v>10</v>
      </c>
      <c r="E163" s="29">
        <v>173.0</v>
      </c>
      <c r="F163" s="24">
        <v>850.0</v>
      </c>
      <c r="G163" s="24">
        <v>850.0</v>
      </c>
      <c r="H163" s="24">
        <v>147050.0</v>
      </c>
      <c r="I163" s="24">
        <v>3601.17</v>
      </c>
      <c r="J163" s="24">
        <v>0.0</v>
      </c>
      <c r="K163" s="22" t="s">
        <v>116</v>
      </c>
      <c r="L163" s="29">
        <v>3.0</v>
      </c>
      <c r="M163" s="22" t="s">
        <v>250</v>
      </c>
    </row>
    <row r="164" ht="15.75" customHeight="1">
      <c r="A164" s="22" t="s">
        <v>281</v>
      </c>
      <c r="B164" s="23">
        <v>45973.0</v>
      </c>
      <c r="C164" s="22" t="s">
        <v>48</v>
      </c>
      <c r="D164" s="22" t="s">
        <v>10</v>
      </c>
      <c r="E164" s="29">
        <v>312.0</v>
      </c>
      <c r="F164" s="24">
        <v>850.0</v>
      </c>
      <c r="G164" s="24">
        <v>850.0</v>
      </c>
      <c r="H164" s="24">
        <v>265200.0</v>
      </c>
      <c r="I164" s="24">
        <v>4537.31</v>
      </c>
      <c r="J164" s="24">
        <v>0.0</v>
      </c>
      <c r="K164" s="22" t="s">
        <v>116</v>
      </c>
      <c r="L164" s="29">
        <v>8.0</v>
      </c>
      <c r="M164" s="22" t="s">
        <v>250</v>
      </c>
    </row>
    <row r="165" ht="15.75" customHeight="1">
      <c r="A165" s="22" t="s">
        <v>282</v>
      </c>
      <c r="B165" s="23">
        <v>45973.0</v>
      </c>
      <c r="C165" s="22" t="s">
        <v>56</v>
      </c>
      <c r="D165" s="22" t="s">
        <v>49</v>
      </c>
      <c r="E165" s="29">
        <v>231.0</v>
      </c>
      <c r="F165" s="24">
        <v>230.0</v>
      </c>
      <c r="G165" s="24">
        <v>230.0</v>
      </c>
      <c r="H165" s="24">
        <v>53130.0</v>
      </c>
      <c r="I165" s="24">
        <v>1308.33</v>
      </c>
      <c r="J165" s="24">
        <v>0.0</v>
      </c>
      <c r="K165" s="22" t="s">
        <v>116</v>
      </c>
      <c r="L165" s="29">
        <v>10.0</v>
      </c>
      <c r="M165" s="22" t="s">
        <v>250</v>
      </c>
    </row>
    <row r="166" ht="15.75" customHeight="1">
      <c r="A166" s="22" t="s">
        <v>283</v>
      </c>
      <c r="B166" s="23">
        <v>45974.0</v>
      </c>
      <c r="C166" s="22" t="s">
        <v>38</v>
      </c>
      <c r="D166" s="22" t="s">
        <v>49</v>
      </c>
      <c r="E166" s="29">
        <v>264.0</v>
      </c>
      <c r="F166" s="24">
        <v>235.0</v>
      </c>
      <c r="G166" s="24">
        <v>235.0</v>
      </c>
      <c r="H166" s="24">
        <v>62040.0</v>
      </c>
      <c r="I166" s="24">
        <v>2722.89</v>
      </c>
      <c r="J166" s="24">
        <v>912.53</v>
      </c>
      <c r="K166" s="22" t="s">
        <v>109</v>
      </c>
      <c r="L166" s="29">
        <v>6.0</v>
      </c>
      <c r="M166" s="22" t="s">
        <v>250</v>
      </c>
    </row>
    <row r="167" ht="15.75" customHeight="1">
      <c r="A167" s="22" t="s">
        <v>284</v>
      </c>
      <c r="B167" s="23">
        <v>45974.0</v>
      </c>
      <c r="C167" s="22" t="s">
        <v>56</v>
      </c>
      <c r="D167" s="22" t="s">
        <v>10</v>
      </c>
      <c r="E167" s="29">
        <v>617.0</v>
      </c>
      <c r="F167" s="24">
        <v>820.0</v>
      </c>
      <c r="G167" s="24">
        <v>820.0</v>
      </c>
      <c r="H167" s="24">
        <v>505940.0</v>
      </c>
      <c r="I167" s="24">
        <v>15773.94</v>
      </c>
      <c r="J167" s="24">
        <v>0.0</v>
      </c>
      <c r="K167" s="22" t="s">
        <v>116</v>
      </c>
      <c r="L167" s="29">
        <v>17.0</v>
      </c>
      <c r="M167" s="22" t="s">
        <v>250</v>
      </c>
    </row>
    <row r="168" ht="15.75" customHeight="1">
      <c r="A168" s="22" t="s">
        <v>285</v>
      </c>
      <c r="B168" s="23">
        <v>45974.0</v>
      </c>
      <c r="C168" s="22" t="s">
        <v>48</v>
      </c>
      <c r="D168" s="22" t="s">
        <v>49</v>
      </c>
      <c r="E168" s="29">
        <v>179.0</v>
      </c>
      <c r="F168" s="24">
        <v>240.0</v>
      </c>
      <c r="G168" s="24">
        <v>240.0</v>
      </c>
      <c r="H168" s="24">
        <v>42960.0</v>
      </c>
      <c r="I168" s="24">
        <v>1826.06</v>
      </c>
      <c r="J168" s="24">
        <v>114.45</v>
      </c>
      <c r="K168" s="22" t="s">
        <v>112</v>
      </c>
      <c r="L168" s="29">
        <v>5.0</v>
      </c>
      <c r="M168" s="22" t="s">
        <v>250</v>
      </c>
    </row>
    <row r="169" ht="15.75" customHeight="1">
      <c r="A169" s="22" t="s">
        <v>286</v>
      </c>
      <c r="B169" s="23">
        <v>45975.0</v>
      </c>
      <c r="C169" s="22" t="s">
        <v>48</v>
      </c>
      <c r="D169" s="22" t="s">
        <v>108</v>
      </c>
      <c r="E169" s="29">
        <v>275.0</v>
      </c>
      <c r="F169" s="24">
        <v>1300.0</v>
      </c>
      <c r="G169" s="24">
        <v>1300.0</v>
      </c>
      <c r="H169" s="24">
        <v>357500.0</v>
      </c>
      <c r="I169" s="24">
        <v>11897.72</v>
      </c>
      <c r="J169" s="24">
        <v>5702.12</v>
      </c>
      <c r="K169" s="22" t="s">
        <v>133</v>
      </c>
      <c r="L169" s="29">
        <v>3.0</v>
      </c>
      <c r="M169" s="22" t="s">
        <v>250</v>
      </c>
    </row>
    <row r="170" ht="15.75" customHeight="1">
      <c r="A170" s="22" t="s">
        <v>287</v>
      </c>
      <c r="B170" s="23">
        <v>45975.0</v>
      </c>
      <c r="C170" s="22" t="s">
        <v>56</v>
      </c>
      <c r="D170" s="22" t="s">
        <v>108</v>
      </c>
      <c r="E170" s="29">
        <v>341.0</v>
      </c>
      <c r="F170" s="24">
        <v>1250.0</v>
      </c>
      <c r="G170" s="24">
        <v>1250.0</v>
      </c>
      <c r="H170" s="24">
        <v>426250.0</v>
      </c>
      <c r="I170" s="24">
        <v>10152.88</v>
      </c>
      <c r="J170" s="24">
        <v>1633.0</v>
      </c>
      <c r="K170" s="22" t="s">
        <v>133</v>
      </c>
      <c r="L170" s="29">
        <v>4.0</v>
      </c>
      <c r="M170" s="22" t="s">
        <v>250</v>
      </c>
    </row>
    <row r="171" ht="15.75" customHeight="1">
      <c r="A171" s="22" t="s">
        <v>288</v>
      </c>
      <c r="B171" s="23">
        <v>45975.0</v>
      </c>
      <c r="C171" s="22" t="s">
        <v>48</v>
      </c>
      <c r="D171" s="22" t="s">
        <v>108</v>
      </c>
      <c r="E171" s="29">
        <v>315.0</v>
      </c>
      <c r="F171" s="24">
        <v>1300.0</v>
      </c>
      <c r="G171" s="24">
        <v>1300.0</v>
      </c>
      <c r="H171" s="24">
        <v>409500.0</v>
      </c>
      <c r="I171" s="24">
        <v>21397.25</v>
      </c>
      <c r="J171" s="24">
        <v>0.0</v>
      </c>
      <c r="K171" s="22" t="s">
        <v>116</v>
      </c>
      <c r="L171" s="29">
        <v>9.0</v>
      </c>
      <c r="M171" s="22" t="s">
        <v>250</v>
      </c>
    </row>
    <row r="172" ht="15.75" customHeight="1">
      <c r="A172" s="22" t="s">
        <v>289</v>
      </c>
      <c r="B172" s="23">
        <v>45976.0</v>
      </c>
      <c r="C172" s="22" t="s">
        <v>38</v>
      </c>
      <c r="D172" s="22" t="s">
        <v>49</v>
      </c>
      <c r="E172" s="29">
        <v>151.0</v>
      </c>
      <c r="F172" s="24">
        <v>235.0</v>
      </c>
      <c r="G172" s="24">
        <v>235.0</v>
      </c>
      <c r="H172" s="24">
        <v>35485.0</v>
      </c>
      <c r="I172" s="24">
        <v>987.04</v>
      </c>
      <c r="J172" s="24">
        <v>138.02</v>
      </c>
      <c r="K172" s="22" t="s">
        <v>114</v>
      </c>
      <c r="L172" s="29">
        <v>6.0</v>
      </c>
      <c r="M172" s="22" t="s">
        <v>250</v>
      </c>
    </row>
    <row r="173" ht="15.75" customHeight="1">
      <c r="A173" s="22" t="s">
        <v>290</v>
      </c>
      <c r="B173" s="23">
        <v>45976.0</v>
      </c>
      <c r="C173" s="22" t="s">
        <v>38</v>
      </c>
      <c r="D173" s="22" t="s">
        <v>10</v>
      </c>
      <c r="E173" s="29">
        <v>200.0</v>
      </c>
      <c r="F173" s="24">
        <v>845.0</v>
      </c>
      <c r="G173" s="24">
        <v>845.0</v>
      </c>
      <c r="H173" s="24">
        <v>169000.0</v>
      </c>
      <c r="I173" s="24">
        <v>4450.65</v>
      </c>
      <c r="J173" s="24">
        <v>2240.55</v>
      </c>
      <c r="K173" s="22" t="s">
        <v>133</v>
      </c>
      <c r="L173" s="29">
        <v>4.0</v>
      </c>
      <c r="M173" s="22" t="s">
        <v>250</v>
      </c>
    </row>
    <row r="174" ht="15.75" customHeight="1">
      <c r="A174" s="22" t="s">
        <v>291</v>
      </c>
      <c r="B174" s="23">
        <v>45976.0</v>
      </c>
      <c r="C174" s="22" t="s">
        <v>56</v>
      </c>
      <c r="D174" s="22" t="s">
        <v>10</v>
      </c>
      <c r="E174" s="29">
        <v>264.0</v>
      </c>
      <c r="F174" s="24">
        <v>820.0</v>
      </c>
      <c r="G174" s="24">
        <v>820.0</v>
      </c>
      <c r="H174" s="24">
        <v>216480.0</v>
      </c>
      <c r="I174" s="24">
        <v>3704.04</v>
      </c>
      <c r="J174" s="24">
        <v>499.08</v>
      </c>
      <c r="K174" s="22" t="s">
        <v>109</v>
      </c>
      <c r="L174" s="29">
        <v>11.0</v>
      </c>
      <c r="M174" s="22" t="s">
        <v>250</v>
      </c>
    </row>
    <row r="175" ht="15.75" customHeight="1">
      <c r="A175" s="22" t="s">
        <v>292</v>
      </c>
      <c r="B175" s="23">
        <v>45976.0</v>
      </c>
      <c r="C175" s="22" t="s">
        <v>56</v>
      </c>
      <c r="D175" s="22" t="s">
        <v>10</v>
      </c>
      <c r="E175" s="29">
        <v>298.0</v>
      </c>
      <c r="F175" s="24">
        <v>820.0</v>
      </c>
      <c r="G175" s="24">
        <v>820.0</v>
      </c>
      <c r="H175" s="24">
        <v>244360.0</v>
      </c>
      <c r="I175" s="24">
        <v>6392.45</v>
      </c>
      <c r="J175" s="24">
        <v>1434.2</v>
      </c>
      <c r="K175" s="22" t="s">
        <v>133</v>
      </c>
      <c r="L175" s="29">
        <v>4.0</v>
      </c>
      <c r="M175" s="22" t="s">
        <v>250</v>
      </c>
    </row>
    <row r="176" ht="15.75" customHeight="1">
      <c r="A176" s="22" t="s">
        <v>293</v>
      </c>
      <c r="B176" s="23">
        <v>45976.0</v>
      </c>
      <c r="C176" s="22" t="s">
        <v>56</v>
      </c>
      <c r="D176" s="22" t="s">
        <v>108</v>
      </c>
      <c r="E176" s="29">
        <v>534.0</v>
      </c>
      <c r="F176" s="24">
        <v>1250.0</v>
      </c>
      <c r="G176" s="24">
        <v>1250.0</v>
      </c>
      <c r="H176" s="24">
        <v>667500.0</v>
      </c>
      <c r="I176" s="24">
        <v>15529.61</v>
      </c>
      <c r="J176" s="24">
        <v>1311.87</v>
      </c>
      <c r="K176" s="22" t="s">
        <v>109</v>
      </c>
      <c r="L176" s="29">
        <v>7.0</v>
      </c>
      <c r="M176" s="22" t="s">
        <v>250</v>
      </c>
    </row>
    <row r="177" ht="15.75" customHeight="1">
      <c r="A177" s="22" t="s">
        <v>294</v>
      </c>
      <c r="B177" s="23">
        <v>45978.0</v>
      </c>
      <c r="C177" s="22" t="s">
        <v>56</v>
      </c>
      <c r="D177" s="22" t="s">
        <v>49</v>
      </c>
      <c r="E177" s="29">
        <v>169.0</v>
      </c>
      <c r="F177" s="24">
        <v>230.0</v>
      </c>
      <c r="G177" s="24">
        <v>230.0</v>
      </c>
      <c r="H177" s="24">
        <v>38870.0</v>
      </c>
      <c r="I177" s="24">
        <v>768.34</v>
      </c>
      <c r="J177" s="24">
        <v>216.81</v>
      </c>
      <c r="K177" s="22" t="s">
        <v>133</v>
      </c>
      <c r="L177" s="29">
        <v>9.0</v>
      </c>
      <c r="M177" s="22" t="s">
        <v>250</v>
      </c>
    </row>
    <row r="178" ht="15.75" customHeight="1">
      <c r="A178" s="22" t="s">
        <v>295</v>
      </c>
      <c r="B178" s="23">
        <v>45979.0</v>
      </c>
      <c r="C178" s="22" t="s">
        <v>48</v>
      </c>
      <c r="D178" s="22" t="s">
        <v>49</v>
      </c>
      <c r="E178" s="29">
        <v>331.0</v>
      </c>
      <c r="F178" s="24">
        <v>240.0</v>
      </c>
      <c r="G178" s="24">
        <v>240.0</v>
      </c>
      <c r="H178" s="24">
        <v>79440.0</v>
      </c>
      <c r="I178" s="24">
        <v>1406.49</v>
      </c>
      <c r="J178" s="24">
        <v>537.27</v>
      </c>
      <c r="K178" s="22" t="s">
        <v>109</v>
      </c>
      <c r="L178" s="29">
        <v>11.0</v>
      </c>
      <c r="M178" s="22" t="s">
        <v>250</v>
      </c>
    </row>
    <row r="179" ht="15.75" customHeight="1">
      <c r="A179" s="22" t="s">
        <v>296</v>
      </c>
      <c r="B179" s="23">
        <v>45979.0</v>
      </c>
      <c r="C179" s="22" t="s">
        <v>48</v>
      </c>
      <c r="D179" s="22" t="s">
        <v>49</v>
      </c>
      <c r="E179" s="29">
        <v>86.0</v>
      </c>
      <c r="F179" s="24">
        <v>240.0</v>
      </c>
      <c r="G179" s="24">
        <v>240.0</v>
      </c>
      <c r="H179" s="24">
        <v>20640.0</v>
      </c>
      <c r="I179" s="24">
        <v>1126.03</v>
      </c>
      <c r="J179" s="24">
        <v>0.0</v>
      </c>
      <c r="K179" s="22" t="s">
        <v>116</v>
      </c>
      <c r="L179" s="29">
        <v>2.0</v>
      </c>
      <c r="M179" s="22" t="s">
        <v>250</v>
      </c>
    </row>
    <row r="180" ht="15.75" customHeight="1">
      <c r="A180" s="22" t="s">
        <v>297</v>
      </c>
      <c r="B180" s="23">
        <v>45979.0</v>
      </c>
      <c r="C180" s="22" t="s">
        <v>48</v>
      </c>
      <c r="D180" s="22" t="s">
        <v>108</v>
      </c>
      <c r="E180" s="29">
        <v>378.0</v>
      </c>
      <c r="F180" s="24">
        <v>1300.0</v>
      </c>
      <c r="G180" s="24">
        <v>1300.0</v>
      </c>
      <c r="H180" s="24">
        <v>491400.0</v>
      </c>
      <c r="I180" s="24">
        <v>9173.33</v>
      </c>
      <c r="J180" s="24">
        <v>0.0</v>
      </c>
      <c r="K180" s="22" t="s">
        <v>116</v>
      </c>
      <c r="L180" s="29">
        <v>4.0</v>
      </c>
      <c r="M180" s="22" t="s">
        <v>250</v>
      </c>
    </row>
    <row r="181" ht="15.75" customHeight="1">
      <c r="A181" s="22" t="s">
        <v>298</v>
      </c>
      <c r="B181" s="23">
        <v>45980.0</v>
      </c>
      <c r="C181" s="22" t="s">
        <v>48</v>
      </c>
      <c r="D181" s="22" t="s">
        <v>10</v>
      </c>
      <c r="E181" s="29">
        <v>219.0</v>
      </c>
      <c r="F181" s="24">
        <v>850.0</v>
      </c>
      <c r="G181" s="24">
        <v>850.0</v>
      </c>
      <c r="H181" s="24">
        <v>186150.0</v>
      </c>
      <c r="I181" s="24">
        <v>8113.52</v>
      </c>
      <c r="J181" s="24">
        <v>0.0</v>
      </c>
      <c r="K181" s="22" t="s">
        <v>116</v>
      </c>
      <c r="L181" s="29">
        <v>3.0</v>
      </c>
      <c r="M181" s="22" t="s">
        <v>250</v>
      </c>
    </row>
    <row r="182" ht="15.75" customHeight="1">
      <c r="A182" s="22" t="s">
        <v>299</v>
      </c>
      <c r="B182" s="23">
        <v>45980.0</v>
      </c>
      <c r="C182" s="22" t="s">
        <v>38</v>
      </c>
      <c r="D182" s="22" t="s">
        <v>49</v>
      </c>
      <c r="E182" s="29">
        <v>258.0</v>
      </c>
      <c r="F182" s="24">
        <v>235.0</v>
      </c>
      <c r="G182" s="24">
        <v>235.0</v>
      </c>
      <c r="H182" s="24">
        <v>60630.0</v>
      </c>
      <c r="I182" s="24">
        <v>3171.77</v>
      </c>
      <c r="J182" s="24">
        <v>598.64</v>
      </c>
      <c r="K182" s="22" t="s">
        <v>109</v>
      </c>
      <c r="L182" s="29">
        <v>10.0</v>
      </c>
      <c r="M182" s="22" t="s">
        <v>250</v>
      </c>
    </row>
    <row r="183" ht="15.75" customHeight="1">
      <c r="A183" s="22" t="s">
        <v>300</v>
      </c>
      <c r="B183" s="23">
        <v>45980.0</v>
      </c>
      <c r="C183" s="22" t="s">
        <v>48</v>
      </c>
      <c r="D183" s="22" t="s">
        <v>108</v>
      </c>
      <c r="E183" s="29">
        <v>393.0</v>
      </c>
      <c r="F183" s="24">
        <v>1300.0</v>
      </c>
      <c r="G183" s="24">
        <v>1300.0</v>
      </c>
      <c r="H183" s="24">
        <v>510900.0</v>
      </c>
      <c r="I183" s="24">
        <v>30355.29</v>
      </c>
      <c r="J183" s="24">
        <v>1316.77</v>
      </c>
      <c r="K183" s="22" t="s">
        <v>112</v>
      </c>
      <c r="L183" s="29">
        <v>6.0</v>
      </c>
      <c r="M183" s="22" t="s">
        <v>250</v>
      </c>
    </row>
    <row r="184" ht="15.75" customHeight="1">
      <c r="A184" s="22" t="s">
        <v>301</v>
      </c>
      <c r="B184" s="23">
        <v>45981.0</v>
      </c>
      <c r="C184" s="22" t="s">
        <v>48</v>
      </c>
      <c r="D184" s="22" t="s">
        <v>49</v>
      </c>
      <c r="E184" s="29">
        <v>230.0</v>
      </c>
      <c r="F184" s="24">
        <v>240.0</v>
      </c>
      <c r="G184" s="24">
        <v>240.0</v>
      </c>
      <c r="H184" s="24">
        <v>55200.0</v>
      </c>
      <c r="I184" s="24">
        <v>2640.27</v>
      </c>
      <c r="J184" s="24">
        <v>645.4</v>
      </c>
      <c r="K184" s="22" t="s">
        <v>112</v>
      </c>
      <c r="L184" s="29">
        <v>9.0</v>
      </c>
      <c r="M184" s="22" t="s">
        <v>250</v>
      </c>
    </row>
    <row r="185" ht="15.75" customHeight="1">
      <c r="A185" s="22" t="s">
        <v>302</v>
      </c>
      <c r="B185" s="23">
        <v>45981.0</v>
      </c>
      <c r="C185" s="22" t="s">
        <v>56</v>
      </c>
      <c r="D185" s="22" t="s">
        <v>49</v>
      </c>
      <c r="E185" s="29">
        <v>281.0</v>
      </c>
      <c r="F185" s="24">
        <v>230.0</v>
      </c>
      <c r="G185" s="24">
        <v>230.0</v>
      </c>
      <c r="H185" s="24">
        <v>64630.0</v>
      </c>
      <c r="I185" s="24">
        <v>1634.83</v>
      </c>
      <c r="J185" s="24">
        <v>0.0</v>
      </c>
      <c r="K185" s="22" t="s">
        <v>116</v>
      </c>
      <c r="L185" s="29">
        <v>13.0</v>
      </c>
      <c r="M185" s="22" t="s">
        <v>250</v>
      </c>
    </row>
    <row r="186" ht="15.75" customHeight="1">
      <c r="A186" s="22" t="s">
        <v>303</v>
      </c>
      <c r="B186" s="23">
        <v>45981.0</v>
      </c>
      <c r="C186" s="22" t="s">
        <v>38</v>
      </c>
      <c r="D186" s="22" t="s">
        <v>108</v>
      </c>
      <c r="E186" s="29">
        <v>128.0</v>
      </c>
      <c r="F186" s="24">
        <v>1290.0</v>
      </c>
      <c r="G186" s="24">
        <v>1290.0</v>
      </c>
      <c r="H186" s="24">
        <v>165120.0</v>
      </c>
      <c r="I186" s="24">
        <v>6381.28</v>
      </c>
      <c r="J186" s="24">
        <v>738.77</v>
      </c>
      <c r="K186" s="22" t="s">
        <v>114</v>
      </c>
      <c r="L186" s="29">
        <v>0.0</v>
      </c>
      <c r="M186" s="22" t="s">
        <v>250</v>
      </c>
    </row>
    <row r="187" ht="15.75" customHeight="1">
      <c r="A187" s="22" t="s">
        <v>304</v>
      </c>
      <c r="B187" s="23">
        <v>45981.0</v>
      </c>
      <c r="C187" s="22" t="s">
        <v>56</v>
      </c>
      <c r="D187" s="22" t="s">
        <v>49</v>
      </c>
      <c r="E187" s="29">
        <v>142.0</v>
      </c>
      <c r="F187" s="24">
        <v>230.0</v>
      </c>
      <c r="G187" s="24">
        <v>230.0</v>
      </c>
      <c r="H187" s="24">
        <v>32660.0</v>
      </c>
      <c r="I187" s="24">
        <v>589.14</v>
      </c>
      <c r="J187" s="24">
        <v>287.08</v>
      </c>
      <c r="K187" s="22" t="s">
        <v>114</v>
      </c>
      <c r="L187" s="29">
        <v>4.0</v>
      </c>
      <c r="M187" s="22" t="s">
        <v>250</v>
      </c>
    </row>
    <row r="188" ht="15.75" customHeight="1">
      <c r="A188" s="22" t="s">
        <v>305</v>
      </c>
      <c r="B188" s="23">
        <v>45981.0</v>
      </c>
      <c r="C188" s="22" t="s">
        <v>48</v>
      </c>
      <c r="D188" s="22" t="s">
        <v>10</v>
      </c>
      <c r="E188" s="29">
        <v>94.0</v>
      </c>
      <c r="F188" s="24">
        <v>850.0</v>
      </c>
      <c r="G188" s="24">
        <v>850.0</v>
      </c>
      <c r="H188" s="24">
        <v>79900.0</v>
      </c>
      <c r="I188" s="24">
        <v>1430.19</v>
      </c>
      <c r="J188" s="24">
        <v>0.0</v>
      </c>
      <c r="K188" s="22" t="s">
        <v>116</v>
      </c>
      <c r="L188" s="29">
        <v>3.0</v>
      </c>
      <c r="M188" s="22" t="s">
        <v>250</v>
      </c>
    </row>
    <row r="189" ht="15.75" customHeight="1">
      <c r="A189" s="22" t="s">
        <v>306</v>
      </c>
      <c r="B189" s="23">
        <v>45982.0</v>
      </c>
      <c r="C189" s="22" t="s">
        <v>56</v>
      </c>
      <c r="D189" s="22" t="s">
        <v>49</v>
      </c>
      <c r="E189" s="29">
        <v>366.0</v>
      </c>
      <c r="F189" s="24">
        <v>230.0</v>
      </c>
      <c r="G189" s="24">
        <v>230.0</v>
      </c>
      <c r="H189" s="24">
        <v>84180.0</v>
      </c>
      <c r="I189" s="24">
        <v>1966.97</v>
      </c>
      <c r="J189" s="24">
        <v>384.79</v>
      </c>
      <c r="K189" s="22" t="s">
        <v>114</v>
      </c>
      <c r="L189" s="29">
        <v>13.0</v>
      </c>
      <c r="M189" s="22" t="s">
        <v>250</v>
      </c>
    </row>
    <row r="190" ht="15.75" customHeight="1">
      <c r="A190" s="22" t="s">
        <v>307</v>
      </c>
      <c r="B190" s="23">
        <v>45982.0</v>
      </c>
      <c r="C190" s="22" t="s">
        <v>38</v>
      </c>
      <c r="D190" s="22" t="s">
        <v>108</v>
      </c>
      <c r="E190" s="29">
        <v>340.0</v>
      </c>
      <c r="F190" s="24">
        <v>1290.0</v>
      </c>
      <c r="G190" s="24">
        <v>1290.0</v>
      </c>
      <c r="H190" s="24">
        <v>438600.0</v>
      </c>
      <c r="I190" s="24">
        <v>32774.61</v>
      </c>
      <c r="J190" s="24">
        <v>0.0</v>
      </c>
      <c r="K190" s="22" t="s">
        <v>116</v>
      </c>
      <c r="L190" s="29">
        <v>4.0</v>
      </c>
      <c r="M190" s="22" t="s">
        <v>250</v>
      </c>
    </row>
    <row r="191" ht="15.75" customHeight="1">
      <c r="A191" s="22" t="s">
        <v>308</v>
      </c>
      <c r="B191" s="23">
        <v>45984.0</v>
      </c>
      <c r="C191" s="22" t="s">
        <v>48</v>
      </c>
      <c r="D191" s="22" t="s">
        <v>10</v>
      </c>
      <c r="E191" s="29">
        <v>392.0</v>
      </c>
      <c r="F191" s="24">
        <v>850.0</v>
      </c>
      <c r="G191" s="24">
        <v>850.0</v>
      </c>
      <c r="H191" s="24">
        <v>333200.0</v>
      </c>
      <c r="I191" s="24">
        <v>7890.05</v>
      </c>
      <c r="J191" s="24">
        <v>3144.38</v>
      </c>
      <c r="K191" s="22" t="s">
        <v>114</v>
      </c>
      <c r="L191" s="29">
        <v>3.0</v>
      </c>
      <c r="M191" s="22" t="s">
        <v>250</v>
      </c>
    </row>
    <row r="192" ht="15.75" customHeight="1">
      <c r="A192" s="22" t="s">
        <v>309</v>
      </c>
      <c r="B192" s="23">
        <v>45984.0</v>
      </c>
      <c r="C192" s="22" t="s">
        <v>48</v>
      </c>
      <c r="D192" s="22" t="s">
        <v>108</v>
      </c>
      <c r="E192" s="29">
        <v>422.0</v>
      </c>
      <c r="F192" s="24">
        <v>1300.0</v>
      </c>
      <c r="G192" s="24">
        <v>1300.0</v>
      </c>
      <c r="H192" s="24">
        <v>548600.0</v>
      </c>
      <c r="I192" s="24">
        <v>15119.47</v>
      </c>
      <c r="J192" s="24">
        <v>2497.4</v>
      </c>
      <c r="K192" s="22" t="s">
        <v>112</v>
      </c>
      <c r="L192" s="29">
        <v>4.0</v>
      </c>
      <c r="M192" s="22" t="s">
        <v>250</v>
      </c>
    </row>
    <row r="193" ht="15.75" customHeight="1">
      <c r="A193" s="22" t="s">
        <v>310</v>
      </c>
      <c r="B193" s="23">
        <v>45985.0</v>
      </c>
      <c r="C193" s="22" t="s">
        <v>38</v>
      </c>
      <c r="D193" s="22" t="s">
        <v>108</v>
      </c>
      <c r="E193" s="29">
        <v>667.0</v>
      </c>
      <c r="F193" s="24">
        <v>1290.0</v>
      </c>
      <c r="G193" s="24">
        <v>1290.0</v>
      </c>
      <c r="H193" s="24">
        <v>860430.0</v>
      </c>
      <c r="I193" s="24">
        <v>56334.01</v>
      </c>
      <c r="J193" s="24">
        <v>0.0</v>
      </c>
      <c r="K193" s="22" t="s">
        <v>116</v>
      </c>
      <c r="L193" s="29">
        <v>9.0</v>
      </c>
      <c r="M193" s="22" t="s">
        <v>250</v>
      </c>
    </row>
    <row r="194" ht="15.75" customHeight="1">
      <c r="A194" s="22" t="s">
        <v>37</v>
      </c>
      <c r="B194" s="23">
        <v>45985.0</v>
      </c>
      <c r="C194" s="22" t="s">
        <v>38</v>
      </c>
      <c r="D194" s="22" t="s">
        <v>10</v>
      </c>
      <c r="E194" s="29">
        <v>1146.0</v>
      </c>
      <c r="F194" s="24">
        <v>845.0</v>
      </c>
      <c r="G194" s="24">
        <v>610.51</v>
      </c>
      <c r="H194" s="24">
        <v>699644.46</v>
      </c>
      <c r="I194" s="24">
        <v>40905.07</v>
      </c>
      <c r="J194" s="24">
        <v>14160.55</v>
      </c>
      <c r="K194" s="22" t="s">
        <v>112</v>
      </c>
      <c r="L194" s="29">
        <v>19.0</v>
      </c>
      <c r="M194" s="22" t="s">
        <v>250</v>
      </c>
    </row>
    <row r="195" ht="15.75" customHeight="1">
      <c r="A195" s="22" t="s">
        <v>311</v>
      </c>
      <c r="B195" s="23">
        <v>45985.0</v>
      </c>
      <c r="C195" s="22" t="s">
        <v>48</v>
      </c>
      <c r="D195" s="22" t="s">
        <v>49</v>
      </c>
      <c r="E195" s="29">
        <v>555.0</v>
      </c>
      <c r="F195" s="24">
        <v>240.0</v>
      </c>
      <c r="G195" s="24">
        <v>240.0</v>
      </c>
      <c r="H195" s="24">
        <v>133200.0</v>
      </c>
      <c r="I195" s="24">
        <v>7028.08</v>
      </c>
      <c r="J195" s="24">
        <v>0.0</v>
      </c>
      <c r="K195" s="22" t="s">
        <v>116</v>
      </c>
      <c r="L195" s="29">
        <v>9.0</v>
      </c>
      <c r="M195" s="22" t="s">
        <v>250</v>
      </c>
    </row>
    <row r="196" ht="15.75" customHeight="1">
      <c r="A196" s="22" t="s">
        <v>312</v>
      </c>
      <c r="B196" s="23">
        <v>45985.0</v>
      </c>
      <c r="C196" s="22" t="s">
        <v>48</v>
      </c>
      <c r="D196" s="22" t="s">
        <v>49</v>
      </c>
      <c r="E196" s="29">
        <v>60.0</v>
      </c>
      <c r="F196" s="24">
        <v>240.0</v>
      </c>
      <c r="G196" s="24">
        <v>240.0</v>
      </c>
      <c r="H196" s="24">
        <v>14400.0</v>
      </c>
      <c r="I196" s="24">
        <v>500.47</v>
      </c>
      <c r="J196" s="24">
        <v>134.08</v>
      </c>
      <c r="K196" s="22" t="s">
        <v>109</v>
      </c>
      <c r="L196" s="29">
        <v>5.0</v>
      </c>
      <c r="M196" s="22" t="s">
        <v>250</v>
      </c>
    </row>
    <row r="197" ht="15.75" customHeight="1">
      <c r="A197" s="22" t="s">
        <v>313</v>
      </c>
      <c r="B197" s="23">
        <v>45986.0</v>
      </c>
      <c r="C197" s="22" t="s">
        <v>48</v>
      </c>
      <c r="D197" s="22" t="s">
        <v>49</v>
      </c>
      <c r="E197" s="29">
        <v>376.0</v>
      </c>
      <c r="F197" s="24">
        <v>240.0</v>
      </c>
      <c r="G197" s="24">
        <v>240.0</v>
      </c>
      <c r="H197" s="24">
        <v>90240.0</v>
      </c>
      <c r="I197" s="24">
        <v>4963.09</v>
      </c>
      <c r="J197" s="24">
        <v>1141.41</v>
      </c>
      <c r="K197" s="22" t="s">
        <v>114</v>
      </c>
      <c r="L197" s="29">
        <v>9.0</v>
      </c>
      <c r="M197" s="22" t="s">
        <v>250</v>
      </c>
    </row>
    <row r="198" ht="15.75" customHeight="1">
      <c r="A198" s="22" t="s">
        <v>314</v>
      </c>
      <c r="B198" s="23">
        <v>45986.0</v>
      </c>
      <c r="C198" s="22" t="s">
        <v>38</v>
      </c>
      <c r="D198" s="22" t="s">
        <v>10</v>
      </c>
      <c r="E198" s="29">
        <v>270.0</v>
      </c>
      <c r="F198" s="24">
        <v>845.0</v>
      </c>
      <c r="G198" s="24">
        <v>845.0</v>
      </c>
      <c r="H198" s="24">
        <v>228150.0</v>
      </c>
      <c r="I198" s="24">
        <v>8665.0</v>
      </c>
      <c r="J198" s="24">
        <v>0.0</v>
      </c>
      <c r="K198" s="22" t="s">
        <v>116</v>
      </c>
      <c r="L198" s="29">
        <v>4.0</v>
      </c>
      <c r="M198" s="22" t="s">
        <v>250</v>
      </c>
    </row>
    <row r="199" ht="15.75" customHeight="1">
      <c r="A199" s="22" t="s">
        <v>315</v>
      </c>
      <c r="B199" s="23">
        <v>45986.0</v>
      </c>
      <c r="C199" s="22" t="s">
        <v>48</v>
      </c>
      <c r="D199" s="22" t="s">
        <v>10</v>
      </c>
      <c r="E199" s="29">
        <v>83.0</v>
      </c>
      <c r="F199" s="24">
        <v>850.0</v>
      </c>
      <c r="G199" s="24">
        <v>850.0</v>
      </c>
      <c r="H199" s="24">
        <v>70550.0</v>
      </c>
      <c r="I199" s="24">
        <v>1544.1</v>
      </c>
      <c r="J199" s="24">
        <v>1087.2</v>
      </c>
      <c r="K199" s="22" t="s">
        <v>109</v>
      </c>
      <c r="L199" s="29">
        <v>0.0</v>
      </c>
      <c r="M199" s="22" t="s">
        <v>250</v>
      </c>
    </row>
    <row r="200" ht="15.75" customHeight="1">
      <c r="A200" s="22" t="s">
        <v>316</v>
      </c>
      <c r="B200" s="23">
        <v>45986.0</v>
      </c>
      <c r="C200" s="22" t="s">
        <v>48</v>
      </c>
      <c r="D200" s="22" t="s">
        <v>10</v>
      </c>
      <c r="E200" s="29">
        <v>334.0</v>
      </c>
      <c r="F200" s="24">
        <v>850.0</v>
      </c>
      <c r="G200" s="24">
        <v>850.0</v>
      </c>
      <c r="H200" s="24">
        <v>283900.0</v>
      </c>
      <c r="I200" s="24">
        <v>5103.03</v>
      </c>
      <c r="J200" s="24">
        <v>630.73</v>
      </c>
      <c r="K200" s="22" t="s">
        <v>109</v>
      </c>
      <c r="L200" s="29">
        <v>7.0</v>
      </c>
      <c r="M200" s="22" t="s">
        <v>250</v>
      </c>
    </row>
    <row r="201" ht="15.75" customHeight="1">
      <c r="A201" s="22" t="s">
        <v>317</v>
      </c>
      <c r="B201" s="23">
        <v>45986.0</v>
      </c>
      <c r="C201" s="22" t="s">
        <v>38</v>
      </c>
      <c r="D201" s="22" t="s">
        <v>10</v>
      </c>
      <c r="E201" s="29">
        <v>284.0</v>
      </c>
      <c r="F201" s="24">
        <v>845.0</v>
      </c>
      <c r="G201" s="24">
        <v>845.0</v>
      </c>
      <c r="H201" s="24">
        <v>239980.0</v>
      </c>
      <c r="I201" s="24">
        <v>17882.94</v>
      </c>
      <c r="J201" s="24">
        <v>0.0</v>
      </c>
      <c r="K201" s="22" t="s">
        <v>116</v>
      </c>
      <c r="L201" s="29">
        <v>4.0</v>
      </c>
      <c r="M201" s="22" t="s">
        <v>250</v>
      </c>
    </row>
    <row r="202" ht="15.75" customHeight="1">
      <c r="A202" s="22" t="s">
        <v>318</v>
      </c>
      <c r="B202" s="23">
        <v>45987.0</v>
      </c>
      <c r="C202" s="22" t="s">
        <v>48</v>
      </c>
      <c r="D202" s="22" t="s">
        <v>108</v>
      </c>
      <c r="E202" s="29">
        <v>470.0</v>
      </c>
      <c r="F202" s="24">
        <v>1300.0</v>
      </c>
      <c r="G202" s="24">
        <v>1300.0</v>
      </c>
      <c r="H202" s="24">
        <v>611000.0</v>
      </c>
      <c r="I202" s="24">
        <v>30021.62</v>
      </c>
      <c r="J202" s="24">
        <v>8980.56</v>
      </c>
      <c r="K202" s="22" t="s">
        <v>109</v>
      </c>
      <c r="L202" s="29">
        <v>7.0</v>
      </c>
      <c r="M202" s="22" t="s">
        <v>250</v>
      </c>
    </row>
    <row r="203" ht="15.75" customHeight="1">
      <c r="A203" s="22" t="s">
        <v>319</v>
      </c>
      <c r="B203" s="23">
        <v>45987.0</v>
      </c>
      <c r="C203" s="22" t="s">
        <v>48</v>
      </c>
      <c r="D203" s="22" t="s">
        <v>10</v>
      </c>
      <c r="E203" s="29">
        <v>816.0</v>
      </c>
      <c r="F203" s="24">
        <v>850.0</v>
      </c>
      <c r="G203" s="24">
        <v>850.0</v>
      </c>
      <c r="H203" s="24">
        <v>693600.0</v>
      </c>
      <c r="I203" s="24">
        <v>40840.54</v>
      </c>
      <c r="J203" s="24">
        <v>7030.63</v>
      </c>
      <c r="K203" s="22" t="s">
        <v>109</v>
      </c>
      <c r="L203" s="29">
        <v>16.0</v>
      </c>
      <c r="M203" s="22" t="s">
        <v>250</v>
      </c>
    </row>
    <row r="204" ht="15.75" customHeight="1">
      <c r="A204" s="22" t="s">
        <v>320</v>
      </c>
      <c r="B204" s="23">
        <v>45987.0</v>
      </c>
      <c r="C204" s="22" t="s">
        <v>48</v>
      </c>
      <c r="D204" s="22" t="s">
        <v>10</v>
      </c>
      <c r="E204" s="29">
        <v>252.0</v>
      </c>
      <c r="F204" s="24">
        <v>850.0</v>
      </c>
      <c r="G204" s="24">
        <v>850.0</v>
      </c>
      <c r="H204" s="24">
        <v>214200.0</v>
      </c>
      <c r="I204" s="24">
        <v>16959.83</v>
      </c>
      <c r="J204" s="24">
        <v>0.0</v>
      </c>
      <c r="K204" s="22" t="s">
        <v>116</v>
      </c>
      <c r="L204" s="29">
        <v>3.0</v>
      </c>
      <c r="M204" s="22" t="s">
        <v>250</v>
      </c>
    </row>
    <row r="205" ht="15.75" customHeight="1">
      <c r="A205" s="22" t="s">
        <v>321</v>
      </c>
      <c r="B205" s="23">
        <v>45987.0</v>
      </c>
      <c r="C205" s="22" t="s">
        <v>38</v>
      </c>
      <c r="D205" s="22" t="s">
        <v>10</v>
      </c>
      <c r="E205" s="29">
        <v>257.0</v>
      </c>
      <c r="F205" s="24">
        <v>845.0</v>
      </c>
      <c r="G205" s="24">
        <v>845.0</v>
      </c>
      <c r="H205" s="24">
        <v>217165.0</v>
      </c>
      <c r="I205" s="24">
        <v>5162.91</v>
      </c>
      <c r="J205" s="24">
        <v>2549.01</v>
      </c>
      <c r="K205" s="22" t="s">
        <v>133</v>
      </c>
      <c r="L205" s="29">
        <v>7.0</v>
      </c>
      <c r="M205" s="22" t="s">
        <v>250</v>
      </c>
    </row>
    <row r="206" ht="15.75" customHeight="1">
      <c r="A206" s="22" t="s">
        <v>322</v>
      </c>
      <c r="B206" s="23">
        <v>45988.0</v>
      </c>
      <c r="C206" s="22" t="s">
        <v>38</v>
      </c>
      <c r="D206" s="22" t="s">
        <v>108</v>
      </c>
      <c r="E206" s="29">
        <v>233.0</v>
      </c>
      <c r="F206" s="24">
        <v>1290.0</v>
      </c>
      <c r="G206" s="24">
        <v>1290.0</v>
      </c>
      <c r="H206" s="24">
        <v>300570.0</v>
      </c>
      <c r="I206" s="24">
        <v>21831.43</v>
      </c>
      <c r="J206" s="24">
        <v>3695.17</v>
      </c>
      <c r="K206" s="22" t="s">
        <v>112</v>
      </c>
      <c r="L206" s="29">
        <v>3.0</v>
      </c>
      <c r="M206" s="22" t="s">
        <v>250</v>
      </c>
    </row>
    <row r="207" ht="15.75" customHeight="1">
      <c r="A207" s="22" t="s">
        <v>323</v>
      </c>
      <c r="B207" s="23">
        <v>45988.0</v>
      </c>
      <c r="C207" s="22" t="s">
        <v>38</v>
      </c>
      <c r="D207" s="22" t="s">
        <v>49</v>
      </c>
      <c r="E207" s="29">
        <v>485.0</v>
      </c>
      <c r="F207" s="24">
        <v>235.0</v>
      </c>
      <c r="G207" s="24">
        <v>235.0</v>
      </c>
      <c r="H207" s="24">
        <v>113975.0</v>
      </c>
      <c r="I207" s="24">
        <v>5661.03</v>
      </c>
      <c r="J207" s="24">
        <v>1221.43</v>
      </c>
      <c r="K207" s="22" t="s">
        <v>109</v>
      </c>
      <c r="L207" s="29">
        <v>13.0</v>
      </c>
      <c r="M207" s="22" t="s">
        <v>250</v>
      </c>
    </row>
    <row r="208" ht="15.75" customHeight="1">
      <c r="A208" s="22" t="s">
        <v>324</v>
      </c>
      <c r="B208" s="23">
        <v>45988.0</v>
      </c>
      <c r="C208" s="22" t="s">
        <v>38</v>
      </c>
      <c r="D208" s="22" t="s">
        <v>108</v>
      </c>
      <c r="E208" s="29">
        <v>243.0</v>
      </c>
      <c r="F208" s="24">
        <v>1290.0</v>
      </c>
      <c r="G208" s="24">
        <v>1290.0</v>
      </c>
      <c r="H208" s="24">
        <v>313470.0</v>
      </c>
      <c r="I208" s="24">
        <v>17330.22</v>
      </c>
      <c r="J208" s="24">
        <v>3642.81</v>
      </c>
      <c r="K208" s="22" t="s">
        <v>109</v>
      </c>
      <c r="L208" s="29">
        <v>4.0</v>
      </c>
      <c r="M208" s="22" t="s">
        <v>250</v>
      </c>
    </row>
    <row r="209" ht="15.75" customHeight="1">
      <c r="A209" s="22" t="s">
        <v>325</v>
      </c>
      <c r="B209" s="23">
        <v>45988.0</v>
      </c>
      <c r="C209" s="22" t="s">
        <v>38</v>
      </c>
      <c r="D209" s="22" t="s">
        <v>10</v>
      </c>
      <c r="E209" s="29">
        <v>378.0</v>
      </c>
      <c r="F209" s="24">
        <v>845.0</v>
      </c>
      <c r="G209" s="24">
        <v>845.0</v>
      </c>
      <c r="H209" s="24">
        <v>319410.0</v>
      </c>
      <c r="I209" s="24">
        <v>21724.45</v>
      </c>
      <c r="J209" s="24">
        <v>810.32</v>
      </c>
      <c r="K209" s="22" t="s">
        <v>133</v>
      </c>
      <c r="L209" s="29">
        <v>5.0</v>
      </c>
      <c r="M209" s="22" t="s">
        <v>250</v>
      </c>
    </row>
    <row r="210" ht="15.75" customHeight="1">
      <c r="A210" s="22" t="s">
        <v>326</v>
      </c>
      <c r="B210" s="23">
        <v>45988.0</v>
      </c>
      <c r="C210" s="22" t="s">
        <v>38</v>
      </c>
      <c r="D210" s="22" t="s">
        <v>49</v>
      </c>
      <c r="E210" s="29">
        <v>717.0</v>
      </c>
      <c r="F210" s="24">
        <v>235.0</v>
      </c>
      <c r="G210" s="24">
        <v>235.0</v>
      </c>
      <c r="H210" s="24">
        <v>168495.0</v>
      </c>
      <c r="I210" s="24">
        <v>6507.7</v>
      </c>
      <c r="J210" s="24">
        <v>2643.66</v>
      </c>
      <c r="K210" s="22" t="s">
        <v>114</v>
      </c>
      <c r="L210" s="29">
        <v>24.0</v>
      </c>
      <c r="M210" s="22" t="s">
        <v>250</v>
      </c>
    </row>
    <row r="211" ht="15.75" customHeight="1">
      <c r="A211" s="22" t="s">
        <v>327</v>
      </c>
      <c r="B211" s="23">
        <v>45989.0</v>
      </c>
      <c r="C211" s="22" t="s">
        <v>38</v>
      </c>
      <c r="D211" s="22" t="s">
        <v>10</v>
      </c>
      <c r="E211" s="29">
        <v>244.0</v>
      </c>
      <c r="F211" s="24">
        <v>845.0</v>
      </c>
      <c r="G211" s="24">
        <v>845.0</v>
      </c>
      <c r="H211" s="24">
        <v>206180.0</v>
      </c>
      <c r="I211" s="24">
        <v>18122.27</v>
      </c>
      <c r="J211" s="24">
        <v>0.0</v>
      </c>
      <c r="K211" s="22" t="s">
        <v>116</v>
      </c>
      <c r="L211" s="29">
        <v>9.0</v>
      </c>
      <c r="M211" s="22" t="s">
        <v>250</v>
      </c>
    </row>
    <row r="212" ht="15.75" customHeight="1">
      <c r="A212" s="22" t="s">
        <v>328</v>
      </c>
      <c r="B212" s="23">
        <v>45989.0</v>
      </c>
      <c r="C212" s="22" t="s">
        <v>38</v>
      </c>
      <c r="D212" s="22" t="s">
        <v>10</v>
      </c>
      <c r="E212" s="29">
        <v>127.0</v>
      </c>
      <c r="F212" s="24">
        <v>845.0</v>
      </c>
      <c r="G212" s="24">
        <v>845.0</v>
      </c>
      <c r="H212" s="24">
        <v>107315.0</v>
      </c>
      <c r="I212" s="24">
        <v>6961.01</v>
      </c>
      <c r="J212" s="24">
        <v>0.0</v>
      </c>
      <c r="K212" s="22" t="s">
        <v>116</v>
      </c>
      <c r="L212" s="29">
        <v>4.0</v>
      </c>
      <c r="M212" s="22" t="s">
        <v>250</v>
      </c>
    </row>
    <row r="213" ht="15.75" customHeight="1">
      <c r="A213" s="22" t="s">
        <v>329</v>
      </c>
      <c r="B213" s="23">
        <v>45990.0</v>
      </c>
      <c r="C213" s="22" t="s">
        <v>56</v>
      </c>
      <c r="D213" s="22" t="s">
        <v>10</v>
      </c>
      <c r="E213" s="29">
        <v>116.0</v>
      </c>
      <c r="F213" s="24">
        <v>820.0</v>
      </c>
      <c r="G213" s="24">
        <v>820.0</v>
      </c>
      <c r="H213" s="24">
        <v>95120.0</v>
      </c>
      <c r="I213" s="24">
        <v>2003.11</v>
      </c>
      <c r="J213" s="24">
        <v>0.0</v>
      </c>
      <c r="K213" s="22" t="s">
        <v>116</v>
      </c>
      <c r="L213" s="29">
        <v>5.0</v>
      </c>
      <c r="M213" s="22" t="s">
        <v>250</v>
      </c>
    </row>
    <row r="214" ht="15.75" customHeight="1">
      <c r="A214" s="22" t="s">
        <v>330</v>
      </c>
      <c r="B214" s="23">
        <v>45990.0</v>
      </c>
      <c r="C214" s="22" t="s">
        <v>56</v>
      </c>
      <c r="D214" s="22" t="s">
        <v>108</v>
      </c>
      <c r="E214" s="29">
        <v>177.0</v>
      </c>
      <c r="F214" s="24">
        <v>1250.0</v>
      </c>
      <c r="G214" s="24">
        <v>1250.0</v>
      </c>
      <c r="H214" s="24">
        <v>221250.0</v>
      </c>
      <c r="I214" s="24">
        <v>7198.35</v>
      </c>
      <c r="J214" s="24">
        <v>303.7</v>
      </c>
      <c r="K214" s="22" t="s">
        <v>114</v>
      </c>
      <c r="L214" s="29">
        <v>7.0</v>
      </c>
      <c r="M214" s="22" t="s">
        <v>250</v>
      </c>
    </row>
    <row r="215" ht="15.75" customHeight="1">
      <c r="A215" s="22" t="s">
        <v>331</v>
      </c>
      <c r="B215" s="23">
        <v>45990.0</v>
      </c>
      <c r="C215" s="22" t="s">
        <v>56</v>
      </c>
      <c r="D215" s="22" t="s">
        <v>10</v>
      </c>
      <c r="E215" s="29">
        <v>249.0</v>
      </c>
      <c r="F215" s="24">
        <v>820.0</v>
      </c>
      <c r="G215" s="24">
        <v>820.0</v>
      </c>
      <c r="H215" s="24">
        <v>204180.0</v>
      </c>
      <c r="I215" s="24">
        <v>7303.36</v>
      </c>
      <c r="J215" s="24">
        <v>1646.81</v>
      </c>
      <c r="K215" s="22" t="s">
        <v>114</v>
      </c>
      <c r="L215" s="29">
        <v>6.0</v>
      </c>
      <c r="M215" s="22" t="s">
        <v>250</v>
      </c>
    </row>
    <row r="216" ht="15.75" customHeight="1">
      <c r="A216" s="22" t="s">
        <v>332</v>
      </c>
      <c r="B216" s="23">
        <v>45990.0</v>
      </c>
      <c r="C216" s="22" t="s">
        <v>38</v>
      </c>
      <c r="D216" s="22" t="s">
        <v>10</v>
      </c>
      <c r="E216" s="29">
        <v>100.0</v>
      </c>
      <c r="F216" s="24">
        <v>845.0</v>
      </c>
      <c r="G216" s="24">
        <v>845.0</v>
      </c>
      <c r="H216" s="24">
        <v>84500.0</v>
      </c>
      <c r="I216" s="24">
        <v>5578.29</v>
      </c>
      <c r="J216" s="24">
        <v>0.0</v>
      </c>
      <c r="K216" s="22" t="s">
        <v>116</v>
      </c>
      <c r="L216" s="29">
        <v>1.0</v>
      </c>
      <c r="M216" s="22" t="s">
        <v>250</v>
      </c>
    </row>
    <row r="217" ht="15.75" customHeight="1">
      <c r="A217" s="22" t="s">
        <v>43</v>
      </c>
      <c r="B217" s="23">
        <v>45991.0</v>
      </c>
      <c r="C217" s="22" t="s">
        <v>38</v>
      </c>
      <c r="D217" s="22" t="s">
        <v>10</v>
      </c>
      <c r="E217" s="29">
        <v>1073.0</v>
      </c>
      <c r="F217" s="24">
        <v>845.0</v>
      </c>
      <c r="G217" s="24">
        <v>610.51</v>
      </c>
      <c r="H217" s="24">
        <v>655077.23</v>
      </c>
      <c r="I217" s="24">
        <v>59614.91</v>
      </c>
      <c r="J217" s="24">
        <v>3429.95</v>
      </c>
      <c r="K217" s="22" t="s">
        <v>109</v>
      </c>
      <c r="L217" s="29">
        <v>23.0</v>
      </c>
      <c r="M217" s="22" t="s">
        <v>250</v>
      </c>
    </row>
    <row r="218" ht="15.75" customHeight="1">
      <c r="A218" s="22" t="s">
        <v>333</v>
      </c>
      <c r="B218" s="23">
        <v>45991.0</v>
      </c>
      <c r="C218" s="22" t="s">
        <v>56</v>
      </c>
      <c r="D218" s="22" t="s">
        <v>49</v>
      </c>
      <c r="E218" s="29">
        <v>325.0</v>
      </c>
      <c r="F218" s="24">
        <v>230.0</v>
      </c>
      <c r="G218" s="24">
        <v>230.0</v>
      </c>
      <c r="H218" s="24">
        <v>74750.0</v>
      </c>
      <c r="I218" s="24">
        <v>2061.48</v>
      </c>
      <c r="J218" s="24">
        <v>88.3</v>
      </c>
      <c r="K218" s="22" t="s">
        <v>109</v>
      </c>
      <c r="L218" s="29">
        <v>17.0</v>
      </c>
      <c r="M218" s="22" t="s">
        <v>250</v>
      </c>
    </row>
    <row r="219" ht="15.75" customHeight="1">
      <c r="A219" s="22" t="s">
        <v>334</v>
      </c>
      <c r="B219" s="23">
        <v>45991.0</v>
      </c>
      <c r="C219" s="22" t="s">
        <v>38</v>
      </c>
      <c r="D219" s="22" t="s">
        <v>49</v>
      </c>
      <c r="E219" s="29">
        <v>311.0</v>
      </c>
      <c r="F219" s="24">
        <v>235.0</v>
      </c>
      <c r="G219" s="24">
        <v>235.0</v>
      </c>
      <c r="H219" s="24">
        <v>73085.0</v>
      </c>
      <c r="I219" s="24">
        <v>6771.03</v>
      </c>
      <c r="J219" s="24">
        <v>616.02</v>
      </c>
      <c r="K219" s="22" t="s">
        <v>114</v>
      </c>
      <c r="L219" s="29">
        <v>7.0</v>
      </c>
      <c r="M219" s="22" t="s">
        <v>250</v>
      </c>
    </row>
    <row r="220" ht="15.75" customHeight="1">
      <c r="A220" s="22" t="s">
        <v>45</v>
      </c>
      <c r="B220" s="23">
        <v>45991.0</v>
      </c>
      <c r="C220" s="22" t="s">
        <v>38</v>
      </c>
      <c r="D220" s="22" t="s">
        <v>10</v>
      </c>
      <c r="E220" s="29">
        <v>990.0</v>
      </c>
      <c r="F220" s="24">
        <v>845.0</v>
      </c>
      <c r="G220" s="24">
        <v>610.51</v>
      </c>
      <c r="H220" s="24">
        <v>604404.9</v>
      </c>
      <c r="I220" s="24">
        <v>14756.86</v>
      </c>
      <c r="J220" s="24">
        <v>3861.5</v>
      </c>
      <c r="K220" s="22" t="s">
        <v>133</v>
      </c>
      <c r="L220" s="29">
        <v>24.0</v>
      </c>
      <c r="M220" s="22" t="s">
        <v>250</v>
      </c>
    </row>
    <row r="221" ht="15.75" customHeight="1">
      <c r="A221" s="22" t="s">
        <v>335</v>
      </c>
      <c r="B221" s="23">
        <v>45991.0</v>
      </c>
      <c r="C221" s="22" t="s">
        <v>38</v>
      </c>
      <c r="D221" s="22" t="s">
        <v>108</v>
      </c>
      <c r="E221" s="29">
        <v>85.0</v>
      </c>
      <c r="F221" s="24">
        <v>1290.0</v>
      </c>
      <c r="G221" s="24">
        <v>1290.0</v>
      </c>
      <c r="H221" s="24">
        <v>109650.0</v>
      </c>
      <c r="I221" s="24">
        <v>6370.93</v>
      </c>
      <c r="J221" s="24">
        <v>0.0</v>
      </c>
      <c r="K221" s="22" t="s">
        <v>116</v>
      </c>
      <c r="L221" s="29">
        <v>0.0</v>
      </c>
      <c r="M221" s="22" t="s">
        <v>250</v>
      </c>
    </row>
    <row r="222" ht="15.75" customHeight="1">
      <c r="A222" s="22" t="s">
        <v>336</v>
      </c>
      <c r="B222" s="23">
        <v>45991.0</v>
      </c>
      <c r="C222" s="22" t="s">
        <v>38</v>
      </c>
      <c r="D222" s="22" t="s">
        <v>10</v>
      </c>
      <c r="E222" s="29">
        <v>660.0</v>
      </c>
      <c r="F222" s="24">
        <v>845.0</v>
      </c>
      <c r="G222" s="24">
        <v>845.0</v>
      </c>
      <c r="H222" s="24">
        <v>557700.0</v>
      </c>
      <c r="I222" s="24">
        <v>34058.88</v>
      </c>
      <c r="J222" s="24">
        <v>6283.64</v>
      </c>
      <c r="K222" s="22" t="s">
        <v>133</v>
      </c>
      <c r="L222" s="29">
        <v>12.0</v>
      </c>
      <c r="M222" s="22" t="s">
        <v>250</v>
      </c>
    </row>
    <row r="223" ht="15.75" customHeight="1">
      <c r="A223" s="22" t="s">
        <v>337</v>
      </c>
      <c r="B223" s="23">
        <v>45991.0</v>
      </c>
      <c r="C223" s="22" t="s">
        <v>48</v>
      </c>
      <c r="D223" s="22" t="s">
        <v>10</v>
      </c>
      <c r="E223" s="29">
        <v>362.0</v>
      </c>
      <c r="F223" s="24">
        <v>850.0</v>
      </c>
      <c r="G223" s="24">
        <v>850.0</v>
      </c>
      <c r="H223" s="24">
        <v>307700.0</v>
      </c>
      <c r="I223" s="24">
        <v>5137.16</v>
      </c>
      <c r="J223" s="24">
        <v>4236.15</v>
      </c>
      <c r="K223" s="22" t="s">
        <v>133</v>
      </c>
      <c r="L223" s="29">
        <v>7.0</v>
      </c>
      <c r="M223" s="22" t="s">
        <v>250</v>
      </c>
    </row>
    <row r="224" ht="15.75" customHeight="1">
      <c r="A224" s="22" t="s">
        <v>338</v>
      </c>
      <c r="B224" s="23">
        <v>45991.0</v>
      </c>
      <c r="C224" s="22" t="s">
        <v>38</v>
      </c>
      <c r="D224" s="22" t="s">
        <v>108</v>
      </c>
      <c r="E224" s="29">
        <v>926.0</v>
      </c>
      <c r="F224" s="24">
        <v>1290.0</v>
      </c>
      <c r="G224" s="24">
        <v>1290.0</v>
      </c>
      <c r="H224" s="24">
        <v>1194540.0</v>
      </c>
      <c r="I224" s="24">
        <v>118131.33</v>
      </c>
      <c r="J224" s="24">
        <v>0.0</v>
      </c>
      <c r="K224" s="22" t="s">
        <v>116</v>
      </c>
      <c r="L224" s="29">
        <v>17.0</v>
      </c>
      <c r="M224" s="22" t="s">
        <v>250</v>
      </c>
    </row>
    <row r="225" ht="15.75" customHeight="1">
      <c r="A225" s="22" t="s">
        <v>339</v>
      </c>
      <c r="B225" s="23">
        <v>45992.0</v>
      </c>
      <c r="C225" s="22" t="s">
        <v>48</v>
      </c>
      <c r="D225" s="22" t="s">
        <v>10</v>
      </c>
      <c r="E225" s="29">
        <v>305.0</v>
      </c>
      <c r="F225" s="24">
        <v>850.0</v>
      </c>
      <c r="G225" s="24">
        <v>850.0</v>
      </c>
      <c r="H225" s="24">
        <v>259250.0</v>
      </c>
      <c r="I225" s="24">
        <v>7962.04</v>
      </c>
      <c r="J225" s="24">
        <v>0.0</v>
      </c>
      <c r="K225" s="22" t="s">
        <v>116</v>
      </c>
      <c r="L225" s="29">
        <v>6.0</v>
      </c>
      <c r="M225" s="22" t="s">
        <v>340</v>
      </c>
    </row>
    <row r="226" ht="15.75" customHeight="1">
      <c r="A226" s="22" t="s">
        <v>341</v>
      </c>
      <c r="B226" s="23">
        <v>45992.0</v>
      </c>
      <c r="C226" s="22" t="s">
        <v>38</v>
      </c>
      <c r="D226" s="22" t="s">
        <v>49</v>
      </c>
      <c r="E226" s="29">
        <v>347.0</v>
      </c>
      <c r="F226" s="24">
        <v>235.0</v>
      </c>
      <c r="G226" s="24">
        <v>235.0</v>
      </c>
      <c r="H226" s="24">
        <v>81545.0</v>
      </c>
      <c r="I226" s="24">
        <v>2188.88</v>
      </c>
      <c r="J226" s="24">
        <v>0.0</v>
      </c>
      <c r="K226" s="22" t="s">
        <v>116</v>
      </c>
      <c r="L226" s="29">
        <v>15.0</v>
      </c>
      <c r="M226" s="22" t="s">
        <v>340</v>
      </c>
    </row>
    <row r="227" ht="15.75" customHeight="1">
      <c r="A227" s="22" t="s">
        <v>342</v>
      </c>
      <c r="B227" s="23">
        <v>45992.0</v>
      </c>
      <c r="C227" s="22" t="s">
        <v>48</v>
      </c>
      <c r="D227" s="22" t="s">
        <v>108</v>
      </c>
      <c r="E227" s="29">
        <v>464.0</v>
      </c>
      <c r="F227" s="24">
        <v>1300.0</v>
      </c>
      <c r="G227" s="24">
        <v>1300.0</v>
      </c>
      <c r="H227" s="24">
        <v>603200.0</v>
      </c>
      <c r="I227" s="24">
        <v>20564.86</v>
      </c>
      <c r="J227" s="24">
        <v>5286.85</v>
      </c>
      <c r="K227" s="22" t="s">
        <v>112</v>
      </c>
      <c r="L227" s="29">
        <v>9.0</v>
      </c>
      <c r="M227" s="22" t="s">
        <v>340</v>
      </c>
    </row>
    <row r="228" ht="15.75" customHeight="1">
      <c r="A228" s="22" t="s">
        <v>343</v>
      </c>
      <c r="B228" s="23">
        <v>45992.0</v>
      </c>
      <c r="C228" s="22" t="s">
        <v>48</v>
      </c>
      <c r="D228" s="22" t="s">
        <v>10</v>
      </c>
      <c r="E228" s="29">
        <v>1069.0</v>
      </c>
      <c r="F228" s="24">
        <v>850.0</v>
      </c>
      <c r="G228" s="24">
        <v>850.0</v>
      </c>
      <c r="H228" s="24">
        <v>908650.0</v>
      </c>
      <c r="I228" s="24">
        <v>41167.57</v>
      </c>
      <c r="J228" s="24">
        <v>0.0</v>
      </c>
      <c r="K228" s="22" t="s">
        <v>116</v>
      </c>
      <c r="L228" s="29">
        <v>27.0</v>
      </c>
      <c r="M228" s="22" t="s">
        <v>340</v>
      </c>
    </row>
    <row r="229" ht="15.75" customHeight="1">
      <c r="A229" s="22" t="s">
        <v>344</v>
      </c>
      <c r="B229" s="23">
        <v>45993.0</v>
      </c>
      <c r="C229" s="22" t="s">
        <v>56</v>
      </c>
      <c r="D229" s="22" t="s">
        <v>108</v>
      </c>
      <c r="E229" s="29">
        <v>401.0</v>
      </c>
      <c r="F229" s="24">
        <v>1250.0</v>
      </c>
      <c r="G229" s="24">
        <v>1250.0</v>
      </c>
      <c r="H229" s="24">
        <v>501250.0</v>
      </c>
      <c r="I229" s="24">
        <v>11825.56</v>
      </c>
      <c r="J229" s="24">
        <v>0.0</v>
      </c>
      <c r="K229" s="22" t="s">
        <v>116</v>
      </c>
      <c r="L229" s="29">
        <v>11.0</v>
      </c>
      <c r="M229" s="22" t="s">
        <v>340</v>
      </c>
    </row>
    <row r="230" ht="15.75" customHeight="1">
      <c r="A230" s="22" t="s">
        <v>345</v>
      </c>
      <c r="B230" s="23">
        <v>45993.0</v>
      </c>
      <c r="C230" s="22" t="s">
        <v>56</v>
      </c>
      <c r="D230" s="22" t="s">
        <v>49</v>
      </c>
      <c r="E230" s="29">
        <v>327.0</v>
      </c>
      <c r="F230" s="24">
        <v>230.0</v>
      </c>
      <c r="G230" s="24">
        <v>230.0</v>
      </c>
      <c r="H230" s="24">
        <v>75210.0</v>
      </c>
      <c r="I230" s="24">
        <v>1224.36</v>
      </c>
      <c r="J230" s="24">
        <v>547.78</v>
      </c>
      <c r="K230" s="22" t="s">
        <v>109</v>
      </c>
      <c r="L230" s="29">
        <v>12.0</v>
      </c>
      <c r="M230" s="22" t="s">
        <v>340</v>
      </c>
    </row>
    <row r="231" ht="15.75" customHeight="1">
      <c r="A231" s="22" t="s">
        <v>346</v>
      </c>
      <c r="B231" s="23">
        <v>45993.0</v>
      </c>
      <c r="C231" s="22" t="s">
        <v>48</v>
      </c>
      <c r="D231" s="22" t="s">
        <v>10</v>
      </c>
      <c r="E231" s="29">
        <v>1244.0</v>
      </c>
      <c r="F231" s="24">
        <v>850.0</v>
      </c>
      <c r="G231" s="24">
        <v>850.0</v>
      </c>
      <c r="H231" s="24">
        <v>1057400.0</v>
      </c>
      <c r="I231" s="24">
        <v>78204.01</v>
      </c>
      <c r="J231" s="24">
        <v>12384.89</v>
      </c>
      <c r="K231" s="22" t="s">
        <v>133</v>
      </c>
      <c r="L231" s="29">
        <v>25.0</v>
      </c>
      <c r="M231" s="22" t="s">
        <v>340</v>
      </c>
    </row>
    <row r="232" ht="15.75" customHeight="1">
      <c r="A232" s="22" t="s">
        <v>347</v>
      </c>
      <c r="B232" s="23">
        <v>45994.0</v>
      </c>
      <c r="C232" s="22" t="s">
        <v>38</v>
      </c>
      <c r="D232" s="22" t="s">
        <v>108</v>
      </c>
      <c r="E232" s="29">
        <v>680.0</v>
      </c>
      <c r="F232" s="24">
        <v>1290.0</v>
      </c>
      <c r="G232" s="24">
        <v>1290.0</v>
      </c>
      <c r="H232" s="24">
        <v>877200.0</v>
      </c>
      <c r="I232" s="24">
        <v>27115.18</v>
      </c>
      <c r="J232" s="24">
        <v>12210.4</v>
      </c>
      <c r="K232" s="22" t="s">
        <v>112</v>
      </c>
      <c r="L232" s="29">
        <v>14.0</v>
      </c>
      <c r="M232" s="22" t="s">
        <v>340</v>
      </c>
    </row>
    <row r="233" ht="15.75" customHeight="1">
      <c r="A233" s="22" t="s">
        <v>348</v>
      </c>
      <c r="B233" s="23">
        <v>45994.0</v>
      </c>
      <c r="C233" s="22" t="s">
        <v>48</v>
      </c>
      <c r="D233" s="22" t="s">
        <v>49</v>
      </c>
      <c r="E233" s="29">
        <v>741.0</v>
      </c>
      <c r="F233" s="24">
        <v>240.0</v>
      </c>
      <c r="G233" s="24">
        <v>240.0</v>
      </c>
      <c r="H233" s="24">
        <v>177840.0</v>
      </c>
      <c r="I233" s="24">
        <v>8045.75</v>
      </c>
      <c r="J233" s="24">
        <v>3180.26</v>
      </c>
      <c r="K233" s="22" t="s">
        <v>114</v>
      </c>
      <c r="L233" s="29">
        <v>21.0</v>
      </c>
      <c r="M233" s="22" t="s">
        <v>340</v>
      </c>
    </row>
    <row r="234" ht="15.75" customHeight="1">
      <c r="A234" s="22" t="s">
        <v>349</v>
      </c>
      <c r="B234" s="23">
        <v>45995.0</v>
      </c>
      <c r="C234" s="22" t="s">
        <v>56</v>
      </c>
      <c r="D234" s="22" t="s">
        <v>49</v>
      </c>
      <c r="E234" s="29">
        <v>194.0</v>
      </c>
      <c r="F234" s="24">
        <v>230.0</v>
      </c>
      <c r="G234" s="24">
        <v>230.0</v>
      </c>
      <c r="H234" s="24">
        <v>44620.0</v>
      </c>
      <c r="I234" s="24">
        <v>930.18</v>
      </c>
      <c r="J234" s="24">
        <v>96.62</v>
      </c>
      <c r="K234" s="22" t="s">
        <v>112</v>
      </c>
      <c r="L234" s="29">
        <v>9.0</v>
      </c>
      <c r="M234" s="22" t="s">
        <v>340</v>
      </c>
    </row>
    <row r="235" ht="15.75" customHeight="1">
      <c r="A235" s="22" t="s">
        <v>350</v>
      </c>
      <c r="B235" s="23">
        <v>45996.0</v>
      </c>
      <c r="C235" s="22" t="s">
        <v>48</v>
      </c>
      <c r="D235" s="22" t="s">
        <v>10</v>
      </c>
      <c r="E235" s="29">
        <v>645.0</v>
      </c>
      <c r="F235" s="24">
        <v>850.0</v>
      </c>
      <c r="G235" s="24">
        <v>850.0</v>
      </c>
      <c r="H235" s="24">
        <v>548250.0</v>
      </c>
      <c r="I235" s="24">
        <v>28210.72</v>
      </c>
      <c r="J235" s="24">
        <v>1201.73</v>
      </c>
      <c r="K235" s="22" t="s">
        <v>109</v>
      </c>
      <c r="L235" s="29">
        <v>13.0</v>
      </c>
      <c r="M235" s="22" t="s">
        <v>340</v>
      </c>
    </row>
    <row r="236" ht="15.75" customHeight="1">
      <c r="A236" s="22" t="s">
        <v>351</v>
      </c>
      <c r="B236" s="23">
        <v>45997.0</v>
      </c>
      <c r="C236" s="22" t="s">
        <v>38</v>
      </c>
      <c r="D236" s="22" t="s">
        <v>108</v>
      </c>
      <c r="E236" s="29">
        <v>221.0</v>
      </c>
      <c r="F236" s="24">
        <v>1290.0</v>
      </c>
      <c r="G236" s="24">
        <v>1290.0</v>
      </c>
      <c r="H236" s="24">
        <v>285090.0</v>
      </c>
      <c r="I236" s="24">
        <v>13100.87</v>
      </c>
      <c r="J236" s="24">
        <v>2713.12</v>
      </c>
      <c r="K236" s="22" t="s">
        <v>109</v>
      </c>
      <c r="L236" s="29">
        <v>5.0</v>
      </c>
      <c r="M236" s="22" t="s">
        <v>340</v>
      </c>
    </row>
    <row r="237" ht="15.75" customHeight="1">
      <c r="A237" s="22" t="s">
        <v>352</v>
      </c>
      <c r="B237" s="23">
        <v>45997.0</v>
      </c>
      <c r="C237" s="22" t="s">
        <v>38</v>
      </c>
      <c r="D237" s="22" t="s">
        <v>10</v>
      </c>
      <c r="E237" s="29">
        <v>211.0</v>
      </c>
      <c r="F237" s="24">
        <v>845.0</v>
      </c>
      <c r="G237" s="24">
        <v>845.0</v>
      </c>
      <c r="H237" s="24">
        <v>178295.0</v>
      </c>
      <c r="I237" s="24">
        <v>5071.08</v>
      </c>
      <c r="J237" s="24">
        <v>1043.08</v>
      </c>
      <c r="K237" s="22" t="s">
        <v>133</v>
      </c>
      <c r="L237" s="29">
        <v>5.0</v>
      </c>
      <c r="M237" s="22" t="s">
        <v>340</v>
      </c>
    </row>
    <row r="238" ht="15.75" customHeight="1">
      <c r="A238" s="22" t="s">
        <v>353</v>
      </c>
      <c r="B238" s="23">
        <v>45997.0</v>
      </c>
      <c r="C238" s="22" t="s">
        <v>48</v>
      </c>
      <c r="D238" s="22" t="s">
        <v>108</v>
      </c>
      <c r="E238" s="29">
        <v>310.0</v>
      </c>
      <c r="F238" s="24">
        <v>1300.0</v>
      </c>
      <c r="G238" s="24">
        <v>1300.0</v>
      </c>
      <c r="H238" s="24">
        <v>403000.0</v>
      </c>
      <c r="I238" s="24">
        <v>23269.4</v>
      </c>
      <c r="J238" s="24">
        <v>0.0</v>
      </c>
      <c r="K238" s="22" t="s">
        <v>116</v>
      </c>
      <c r="L238" s="29">
        <v>7.0</v>
      </c>
      <c r="M238" s="22" t="s">
        <v>340</v>
      </c>
    </row>
    <row r="239" ht="15.75" customHeight="1">
      <c r="A239" s="22" t="s">
        <v>354</v>
      </c>
      <c r="B239" s="23">
        <v>45997.0</v>
      </c>
      <c r="C239" s="22" t="s">
        <v>56</v>
      </c>
      <c r="D239" s="22" t="s">
        <v>49</v>
      </c>
      <c r="E239" s="29">
        <v>480.0</v>
      </c>
      <c r="F239" s="24">
        <v>230.0</v>
      </c>
      <c r="G239" s="24">
        <v>230.0</v>
      </c>
      <c r="H239" s="24">
        <v>110400.0</v>
      </c>
      <c r="I239" s="24">
        <v>1201.61</v>
      </c>
      <c r="J239" s="24">
        <v>0.0</v>
      </c>
      <c r="K239" s="22" t="s">
        <v>116</v>
      </c>
      <c r="L239" s="29">
        <v>21.0</v>
      </c>
      <c r="M239" s="22" t="s">
        <v>340</v>
      </c>
    </row>
    <row r="240" ht="15.75" customHeight="1">
      <c r="A240" s="22" t="s">
        <v>355</v>
      </c>
      <c r="B240" s="23">
        <v>45997.0</v>
      </c>
      <c r="C240" s="22" t="s">
        <v>38</v>
      </c>
      <c r="D240" s="22" t="s">
        <v>108</v>
      </c>
      <c r="E240" s="29">
        <v>301.0</v>
      </c>
      <c r="F240" s="24">
        <v>1290.0</v>
      </c>
      <c r="G240" s="24">
        <v>1290.0</v>
      </c>
      <c r="H240" s="24">
        <v>388290.0</v>
      </c>
      <c r="I240" s="24">
        <v>22919.09</v>
      </c>
      <c r="J240" s="24">
        <v>6279.52</v>
      </c>
      <c r="K240" s="22" t="s">
        <v>133</v>
      </c>
      <c r="L240" s="29">
        <v>3.0</v>
      </c>
      <c r="M240" s="22" t="s">
        <v>340</v>
      </c>
    </row>
    <row r="241" ht="15.75" customHeight="1">
      <c r="A241" s="22" t="s">
        <v>356</v>
      </c>
      <c r="B241" s="23">
        <v>45998.0</v>
      </c>
      <c r="C241" s="22" t="s">
        <v>38</v>
      </c>
      <c r="D241" s="22" t="s">
        <v>49</v>
      </c>
      <c r="E241" s="29">
        <v>168.0</v>
      </c>
      <c r="F241" s="24">
        <v>235.0</v>
      </c>
      <c r="G241" s="24">
        <v>235.0</v>
      </c>
      <c r="H241" s="24">
        <v>39480.0</v>
      </c>
      <c r="I241" s="24">
        <v>1092.51</v>
      </c>
      <c r="J241" s="24">
        <v>191.43</v>
      </c>
      <c r="K241" s="22" t="s">
        <v>109</v>
      </c>
      <c r="L241" s="29">
        <v>5.0</v>
      </c>
      <c r="M241" s="22" t="s">
        <v>340</v>
      </c>
    </row>
    <row r="242" ht="15.75" customHeight="1">
      <c r="A242" s="22" t="s">
        <v>357</v>
      </c>
      <c r="B242" s="23">
        <v>45998.0</v>
      </c>
      <c r="C242" s="22" t="s">
        <v>56</v>
      </c>
      <c r="D242" s="22" t="s">
        <v>10</v>
      </c>
      <c r="E242" s="29">
        <v>179.0</v>
      </c>
      <c r="F242" s="24">
        <v>820.0</v>
      </c>
      <c r="G242" s="24">
        <v>820.0</v>
      </c>
      <c r="H242" s="24">
        <v>146780.0</v>
      </c>
      <c r="I242" s="24">
        <v>4727.02</v>
      </c>
      <c r="J242" s="24">
        <v>0.0</v>
      </c>
      <c r="K242" s="22" t="s">
        <v>116</v>
      </c>
      <c r="L242" s="29">
        <v>4.0</v>
      </c>
      <c r="M242" s="22" t="s">
        <v>340</v>
      </c>
    </row>
    <row r="243" ht="15.75" customHeight="1">
      <c r="A243" s="22" t="s">
        <v>358</v>
      </c>
      <c r="B243" s="23">
        <v>45998.0</v>
      </c>
      <c r="C243" s="22" t="s">
        <v>48</v>
      </c>
      <c r="D243" s="22" t="s">
        <v>49</v>
      </c>
      <c r="E243" s="29">
        <v>246.0</v>
      </c>
      <c r="F243" s="24">
        <v>240.0</v>
      </c>
      <c r="G243" s="24">
        <v>240.0</v>
      </c>
      <c r="H243" s="24">
        <v>59040.0</v>
      </c>
      <c r="I243" s="24">
        <v>4293.48</v>
      </c>
      <c r="J243" s="24">
        <v>61.76</v>
      </c>
      <c r="K243" s="22" t="s">
        <v>114</v>
      </c>
      <c r="L243" s="29">
        <v>8.0</v>
      </c>
      <c r="M243" s="22" t="s">
        <v>340</v>
      </c>
    </row>
    <row r="244" ht="15.75" customHeight="1">
      <c r="A244" s="22" t="s">
        <v>359</v>
      </c>
      <c r="B244" s="23">
        <v>45998.0</v>
      </c>
      <c r="C244" s="22" t="s">
        <v>48</v>
      </c>
      <c r="D244" s="22" t="s">
        <v>10</v>
      </c>
      <c r="E244" s="29">
        <v>425.0</v>
      </c>
      <c r="F244" s="24">
        <v>850.0</v>
      </c>
      <c r="G244" s="24">
        <v>850.0</v>
      </c>
      <c r="H244" s="24">
        <v>361250.0</v>
      </c>
      <c r="I244" s="24">
        <v>14198.39</v>
      </c>
      <c r="J244" s="24">
        <v>3894.28</v>
      </c>
      <c r="K244" s="22" t="s">
        <v>133</v>
      </c>
      <c r="L244" s="29">
        <v>5.0</v>
      </c>
      <c r="M244" s="22" t="s">
        <v>340</v>
      </c>
    </row>
    <row r="245" ht="15.75" customHeight="1">
      <c r="A245" s="22" t="s">
        <v>360</v>
      </c>
      <c r="B245" s="23">
        <v>45998.0</v>
      </c>
      <c r="C245" s="22" t="s">
        <v>56</v>
      </c>
      <c r="D245" s="22" t="s">
        <v>10</v>
      </c>
      <c r="E245" s="29">
        <v>278.0</v>
      </c>
      <c r="F245" s="24">
        <v>820.0</v>
      </c>
      <c r="G245" s="24">
        <v>820.0</v>
      </c>
      <c r="H245" s="24">
        <v>227960.0</v>
      </c>
      <c r="I245" s="24">
        <v>7186.65</v>
      </c>
      <c r="J245" s="24">
        <v>0.0</v>
      </c>
      <c r="K245" s="22" t="s">
        <v>116</v>
      </c>
      <c r="L245" s="29">
        <v>5.0</v>
      </c>
      <c r="M245" s="22" t="s">
        <v>340</v>
      </c>
    </row>
    <row r="246" ht="15.75" customHeight="1">
      <c r="A246" s="22" t="s">
        <v>361</v>
      </c>
      <c r="B246" s="23">
        <v>45998.0</v>
      </c>
      <c r="C246" s="22" t="s">
        <v>38</v>
      </c>
      <c r="D246" s="22" t="s">
        <v>10</v>
      </c>
      <c r="E246" s="29">
        <v>688.0</v>
      </c>
      <c r="F246" s="24">
        <v>845.0</v>
      </c>
      <c r="G246" s="24">
        <v>845.0</v>
      </c>
      <c r="H246" s="24">
        <v>581360.0</v>
      </c>
      <c r="I246" s="24">
        <v>38402.37</v>
      </c>
      <c r="J246" s="24">
        <v>0.0</v>
      </c>
      <c r="K246" s="22" t="s">
        <v>116</v>
      </c>
      <c r="L246" s="29">
        <v>18.0</v>
      </c>
      <c r="M246" s="22" t="s">
        <v>340</v>
      </c>
    </row>
    <row r="247" ht="15.75" customHeight="1">
      <c r="A247" s="22" t="s">
        <v>362</v>
      </c>
      <c r="B247" s="23">
        <v>45999.0</v>
      </c>
      <c r="C247" s="22" t="s">
        <v>38</v>
      </c>
      <c r="D247" s="22" t="s">
        <v>49</v>
      </c>
      <c r="E247" s="29">
        <v>563.0</v>
      </c>
      <c r="F247" s="24">
        <v>235.0</v>
      </c>
      <c r="G247" s="24">
        <v>235.0</v>
      </c>
      <c r="H247" s="24">
        <v>132305.0</v>
      </c>
      <c r="I247" s="24">
        <v>6467.09</v>
      </c>
      <c r="J247" s="24">
        <v>2199.55</v>
      </c>
      <c r="K247" s="22" t="s">
        <v>114</v>
      </c>
      <c r="L247" s="29">
        <v>15.0</v>
      </c>
      <c r="M247" s="22" t="s">
        <v>340</v>
      </c>
    </row>
    <row r="248" ht="15.75" customHeight="1">
      <c r="A248" s="22" t="s">
        <v>363</v>
      </c>
      <c r="B248" s="23">
        <v>45999.0</v>
      </c>
      <c r="C248" s="22" t="s">
        <v>48</v>
      </c>
      <c r="D248" s="22" t="s">
        <v>49</v>
      </c>
      <c r="E248" s="29">
        <v>361.0</v>
      </c>
      <c r="F248" s="24">
        <v>240.0</v>
      </c>
      <c r="G248" s="24">
        <v>240.0</v>
      </c>
      <c r="H248" s="24">
        <v>86640.0</v>
      </c>
      <c r="I248" s="24">
        <v>4592.72</v>
      </c>
      <c r="J248" s="24">
        <v>324.93</v>
      </c>
      <c r="K248" s="22" t="s">
        <v>109</v>
      </c>
      <c r="L248" s="29">
        <v>13.0</v>
      </c>
      <c r="M248" s="22" t="s">
        <v>340</v>
      </c>
    </row>
    <row r="249" ht="15.75" customHeight="1">
      <c r="A249" s="22" t="s">
        <v>364</v>
      </c>
      <c r="B249" s="23">
        <v>45999.0</v>
      </c>
      <c r="C249" s="22" t="s">
        <v>56</v>
      </c>
      <c r="D249" s="22" t="s">
        <v>10</v>
      </c>
      <c r="E249" s="29">
        <v>304.0</v>
      </c>
      <c r="F249" s="24">
        <v>820.0</v>
      </c>
      <c r="G249" s="24">
        <v>820.0</v>
      </c>
      <c r="H249" s="24">
        <v>249280.0</v>
      </c>
      <c r="I249" s="24">
        <v>6939.06</v>
      </c>
      <c r="J249" s="24">
        <v>961.51</v>
      </c>
      <c r="K249" s="22" t="s">
        <v>114</v>
      </c>
      <c r="L249" s="29">
        <v>4.0</v>
      </c>
      <c r="M249" s="22" t="s">
        <v>340</v>
      </c>
    </row>
    <row r="250" ht="15.75" customHeight="1">
      <c r="A250" s="22" t="s">
        <v>365</v>
      </c>
      <c r="B250" s="23">
        <v>45999.0</v>
      </c>
      <c r="C250" s="22" t="s">
        <v>48</v>
      </c>
      <c r="D250" s="22" t="s">
        <v>108</v>
      </c>
      <c r="E250" s="29">
        <v>689.0</v>
      </c>
      <c r="F250" s="24">
        <v>1300.0</v>
      </c>
      <c r="G250" s="24">
        <v>1300.0</v>
      </c>
      <c r="H250" s="24">
        <v>895700.0</v>
      </c>
      <c r="I250" s="24">
        <v>41598.95</v>
      </c>
      <c r="J250" s="24">
        <v>9105.56</v>
      </c>
      <c r="K250" s="22" t="s">
        <v>109</v>
      </c>
      <c r="L250" s="29">
        <v>15.0</v>
      </c>
      <c r="M250" s="22" t="s">
        <v>340</v>
      </c>
    </row>
    <row r="251" ht="15.75" customHeight="1">
      <c r="A251" s="22" t="s">
        <v>366</v>
      </c>
      <c r="B251" s="23">
        <v>45999.0</v>
      </c>
      <c r="C251" s="22" t="s">
        <v>48</v>
      </c>
      <c r="D251" s="22" t="s">
        <v>49</v>
      </c>
      <c r="E251" s="29">
        <v>148.0</v>
      </c>
      <c r="F251" s="24">
        <v>240.0</v>
      </c>
      <c r="G251" s="24">
        <v>240.0</v>
      </c>
      <c r="H251" s="24">
        <v>35520.0</v>
      </c>
      <c r="I251" s="24">
        <v>2113.14</v>
      </c>
      <c r="J251" s="24">
        <v>385.54</v>
      </c>
      <c r="K251" s="22" t="s">
        <v>114</v>
      </c>
      <c r="L251" s="29">
        <v>4.0</v>
      </c>
      <c r="M251" s="22" t="s">
        <v>340</v>
      </c>
    </row>
    <row r="252" ht="15.75" customHeight="1">
      <c r="A252" s="22" t="s">
        <v>367</v>
      </c>
      <c r="B252" s="23">
        <v>46000.0</v>
      </c>
      <c r="C252" s="22" t="s">
        <v>38</v>
      </c>
      <c r="D252" s="22" t="s">
        <v>49</v>
      </c>
      <c r="E252" s="29">
        <v>1390.0</v>
      </c>
      <c r="F252" s="24">
        <v>235.0</v>
      </c>
      <c r="G252" s="24">
        <v>235.0</v>
      </c>
      <c r="H252" s="24">
        <v>326650.0</v>
      </c>
      <c r="I252" s="24">
        <v>7634.37</v>
      </c>
      <c r="J252" s="24">
        <v>987.6</v>
      </c>
      <c r="K252" s="22" t="s">
        <v>114</v>
      </c>
      <c r="L252" s="29">
        <v>44.0</v>
      </c>
      <c r="M252" s="22" t="s">
        <v>340</v>
      </c>
    </row>
    <row r="253" ht="15.75" customHeight="1">
      <c r="A253" s="22" t="s">
        <v>368</v>
      </c>
      <c r="B253" s="23">
        <v>46000.0</v>
      </c>
      <c r="C253" s="22" t="s">
        <v>38</v>
      </c>
      <c r="D253" s="22" t="s">
        <v>10</v>
      </c>
      <c r="E253" s="29">
        <v>239.0</v>
      </c>
      <c r="F253" s="24">
        <v>845.0</v>
      </c>
      <c r="G253" s="24">
        <v>845.0</v>
      </c>
      <c r="H253" s="24">
        <v>201955.0</v>
      </c>
      <c r="I253" s="24">
        <v>19811.5</v>
      </c>
      <c r="J253" s="24">
        <v>339.1</v>
      </c>
      <c r="K253" s="22" t="s">
        <v>133</v>
      </c>
      <c r="L253" s="29">
        <v>5.0</v>
      </c>
      <c r="M253" s="22" t="s">
        <v>340</v>
      </c>
    </row>
    <row r="254" ht="15.75" customHeight="1">
      <c r="A254" s="22" t="s">
        <v>369</v>
      </c>
      <c r="B254" s="23">
        <v>46000.0</v>
      </c>
      <c r="C254" s="22" t="s">
        <v>48</v>
      </c>
      <c r="D254" s="22" t="s">
        <v>108</v>
      </c>
      <c r="E254" s="29">
        <v>155.0</v>
      </c>
      <c r="F254" s="24">
        <v>1300.0</v>
      </c>
      <c r="G254" s="24">
        <v>1300.0</v>
      </c>
      <c r="H254" s="24">
        <v>201500.0</v>
      </c>
      <c r="I254" s="24">
        <v>5775.71</v>
      </c>
      <c r="J254" s="24">
        <v>386.66</v>
      </c>
      <c r="K254" s="22" t="s">
        <v>109</v>
      </c>
      <c r="L254" s="29">
        <v>5.0</v>
      </c>
      <c r="M254" s="22" t="s">
        <v>340</v>
      </c>
    </row>
    <row r="255" ht="15.75" customHeight="1">
      <c r="A255" s="22" t="s">
        <v>370</v>
      </c>
      <c r="B255" s="23">
        <v>46000.0</v>
      </c>
      <c r="C255" s="22" t="s">
        <v>56</v>
      </c>
      <c r="D255" s="22" t="s">
        <v>49</v>
      </c>
      <c r="E255" s="29">
        <v>542.0</v>
      </c>
      <c r="F255" s="24">
        <v>230.0</v>
      </c>
      <c r="G255" s="24">
        <v>230.0</v>
      </c>
      <c r="H255" s="24">
        <v>124660.0</v>
      </c>
      <c r="I255" s="24">
        <v>4032.03</v>
      </c>
      <c r="J255" s="24">
        <v>429.02</v>
      </c>
      <c r="K255" s="22" t="s">
        <v>112</v>
      </c>
      <c r="L255" s="29">
        <v>18.0</v>
      </c>
      <c r="M255" s="22" t="s">
        <v>340</v>
      </c>
    </row>
    <row r="256" ht="15.75" customHeight="1">
      <c r="A256" s="22" t="s">
        <v>371</v>
      </c>
      <c r="B256" s="23">
        <v>46000.0</v>
      </c>
      <c r="C256" s="22" t="s">
        <v>56</v>
      </c>
      <c r="D256" s="22" t="s">
        <v>108</v>
      </c>
      <c r="E256" s="29">
        <v>274.0</v>
      </c>
      <c r="F256" s="24">
        <v>1250.0</v>
      </c>
      <c r="G256" s="24">
        <v>1250.0</v>
      </c>
      <c r="H256" s="24">
        <v>342500.0</v>
      </c>
      <c r="I256" s="24">
        <v>5972.49</v>
      </c>
      <c r="J256" s="24">
        <v>0.0</v>
      </c>
      <c r="K256" s="22" t="s">
        <v>116</v>
      </c>
      <c r="L256" s="29">
        <v>2.0</v>
      </c>
      <c r="M256" s="22" t="s">
        <v>340</v>
      </c>
    </row>
    <row r="257" ht="15.75" customHeight="1">
      <c r="A257" s="22" t="s">
        <v>372</v>
      </c>
      <c r="B257" s="23">
        <v>46000.0</v>
      </c>
      <c r="C257" s="22" t="s">
        <v>38</v>
      </c>
      <c r="D257" s="22" t="s">
        <v>108</v>
      </c>
      <c r="E257" s="29">
        <v>173.0</v>
      </c>
      <c r="F257" s="24">
        <v>1290.0</v>
      </c>
      <c r="G257" s="24">
        <v>1290.0</v>
      </c>
      <c r="H257" s="24">
        <v>223170.0</v>
      </c>
      <c r="I257" s="24">
        <v>7033.98</v>
      </c>
      <c r="J257" s="24">
        <v>1105.45</v>
      </c>
      <c r="K257" s="22" t="s">
        <v>133</v>
      </c>
      <c r="L257" s="29">
        <v>0.0</v>
      </c>
      <c r="M257" s="22" t="s">
        <v>340</v>
      </c>
    </row>
    <row r="258" ht="15.75" customHeight="1">
      <c r="A258" s="22" t="s">
        <v>373</v>
      </c>
      <c r="B258" s="23">
        <v>46000.0</v>
      </c>
      <c r="C258" s="22" t="s">
        <v>38</v>
      </c>
      <c r="D258" s="22" t="s">
        <v>10</v>
      </c>
      <c r="E258" s="29">
        <v>307.0</v>
      </c>
      <c r="F258" s="24">
        <v>845.0</v>
      </c>
      <c r="G258" s="24">
        <v>845.0</v>
      </c>
      <c r="H258" s="24">
        <v>259415.0</v>
      </c>
      <c r="I258" s="24">
        <v>16817.22</v>
      </c>
      <c r="J258" s="24">
        <v>0.0</v>
      </c>
      <c r="K258" s="22" t="s">
        <v>116</v>
      </c>
      <c r="L258" s="29">
        <v>8.0</v>
      </c>
      <c r="M258" s="22" t="s">
        <v>340</v>
      </c>
    </row>
    <row r="259" ht="15.75" customHeight="1">
      <c r="A259" s="22" t="s">
        <v>374</v>
      </c>
      <c r="B259" s="23">
        <v>46001.0</v>
      </c>
      <c r="C259" s="22" t="s">
        <v>56</v>
      </c>
      <c r="D259" s="22" t="s">
        <v>108</v>
      </c>
      <c r="E259" s="29">
        <v>615.0</v>
      </c>
      <c r="F259" s="24">
        <v>1250.0</v>
      </c>
      <c r="G259" s="24">
        <v>1250.0</v>
      </c>
      <c r="H259" s="24">
        <v>768750.0</v>
      </c>
      <c r="I259" s="24">
        <v>17367.74</v>
      </c>
      <c r="J259" s="24">
        <v>5210.68</v>
      </c>
      <c r="K259" s="22" t="s">
        <v>109</v>
      </c>
      <c r="L259" s="29">
        <v>8.0</v>
      </c>
      <c r="M259" s="22" t="s">
        <v>340</v>
      </c>
    </row>
    <row r="260" ht="15.75" customHeight="1">
      <c r="A260" s="22" t="s">
        <v>375</v>
      </c>
      <c r="B260" s="23">
        <v>46001.0</v>
      </c>
      <c r="C260" s="22" t="s">
        <v>38</v>
      </c>
      <c r="D260" s="22" t="s">
        <v>10</v>
      </c>
      <c r="E260" s="29">
        <v>537.0</v>
      </c>
      <c r="F260" s="24">
        <v>845.0</v>
      </c>
      <c r="G260" s="24">
        <v>845.0</v>
      </c>
      <c r="H260" s="24">
        <v>453765.0</v>
      </c>
      <c r="I260" s="24">
        <v>32303.13</v>
      </c>
      <c r="J260" s="24">
        <v>0.0</v>
      </c>
      <c r="K260" s="22" t="s">
        <v>116</v>
      </c>
      <c r="L260" s="29">
        <v>12.0</v>
      </c>
      <c r="M260" s="22" t="s">
        <v>340</v>
      </c>
    </row>
    <row r="261" ht="15.75" customHeight="1">
      <c r="A261" s="22" t="s">
        <v>376</v>
      </c>
      <c r="B261" s="23">
        <v>46001.0</v>
      </c>
      <c r="C261" s="22" t="s">
        <v>38</v>
      </c>
      <c r="D261" s="22" t="s">
        <v>10</v>
      </c>
      <c r="E261" s="29">
        <v>139.0</v>
      </c>
      <c r="F261" s="24">
        <v>845.0</v>
      </c>
      <c r="G261" s="24">
        <v>845.0</v>
      </c>
      <c r="H261" s="24">
        <v>117455.0</v>
      </c>
      <c r="I261" s="24">
        <v>4122.83</v>
      </c>
      <c r="J261" s="24">
        <v>1173.81</v>
      </c>
      <c r="K261" s="22" t="s">
        <v>133</v>
      </c>
      <c r="L261" s="29">
        <v>0.0</v>
      </c>
      <c r="M261" s="22" t="s">
        <v>340</v>
      </c>
    </row>
    <row r="262" ht="15.75" customHeight="1">
      <c r="A262" s="22" t="s">
        <v>377</v>
      </c>
      <c r="B262" s="23">
        <v>46001.0</v>
      </c>
      <c r="C262" s="22" t="s">
        <v>48</v>
      </c>
      <c r="D262" s="22" t="s">
        <v>10</v>
      </c>
      <c r="E262" s="29">
        <v>507.0</v>
      </c>
      <c r="F262" s="24">
        <v>850.0</v>
      </c>
      <c r="G262" s="24">
        <v>850.0</v>
      </c>
      <c r="H262" s="24">
        <v>430950.0</v>
      </c>
      <c r="I262" s="24">
        <v>17293.81</v>
      </c>
      <c r="J262" s="24">
        <v>0.0</v>
      </c>
      <c r="K262" s="22" t="s">
        <v>116</v>
      </c>
      <c r="L262" s="29">
        <v>4.0</v>
      </c>
      <c r="M262" s="22" t="s">
        <v>340</v>
      </c>
    </row>
    <row r="263" ht="15.75" customHeight="1">
      <c r="A263" s="22" t="s">
        <v>378</v>
      </c>
      <c r="B263" s="23">
        <v>46002.0</v>
      </c>
      <c r="C263" s="22" t="s">
        <v>56</v>
      </c>
      <c r="D263" s="22" t="s">
        <v>10</v>
      </c>
      <c r="E263" s="29">
        <v>319.0</v>
      </c>
      <c r="F263" s="24">
        <v>820.0</v>
      </c>
      <c r="G263" s="24">
        <v>820.0</v>
      </c>
      <c r="H263" s="24">
        <v>261580.0</v>
      </c>
      <c r="I263" s="24">
        <v>13042.27</v>
      </c>
      <c r="J263" s="24">
        <v>2017.62</v>
      </c>
      <c r="K263" s="22" t="s">
        <v>114</v>
      </c>
      <c r="L263" s="29">
        <v>4.0</v>
      </c>
      <c r="M263" s="22" t="s">
        <v>340</v>
      </c>
    </row>
    <row r="264" ht="15.75" customHeight="1">
      <c r="A264" s="22" t="s">
        <v>379</v>
      </c>
      <c r="B264" s="23">
        <v>46002.0</v>
      </c>
      <c r="C264" s="22" t="s">
        <v>56</v>
      </c>
      <c r="D264" s="22" t="s">
        <v>10</v>
      </c>
      <c r="E264" s="29">
        <v>175.0</v>
      </c>
      <c r="F264" s="24">
        <v>820.0</v>
      </c>
      <c r="G264" s="24">
        <v>820.0</v>
      </c>
      <c r="H264" s="24">
        <v>143500.0</v>
      </c>
      <c r="I264" s="24">
        <v>2950.17</v>
      </c>
      <c r="J264" s="24">
        <v>379.06</v>
      </c>
      <c r="K264" s="22" t="s">
        <v>112</v>
      </c>
      <c r="L264" s="29">
        <v>11.0</v>
      </c>
      <c r="M264" s="22" t="s">
        <v>340</v>
      </c>
    </row>
    <row r="265" ht="15.75" customHeight="1">
      <c r="A265" s="22" t="s">
        <v>380</v>
      </c>
      <c r="B265" s="23">
        <v>46002.0</v>
      </c>
      <c r="C265" s="22" t="s">
        <v>48</v>
      </c>
      <c r="D265" s="22" t="s">
        <v>108</v>
      </c>
      <c r="E265" s="29">
        <v>614.0</v>
      </c>
      <c r="F265" s="24">
        <v>1300.0</v>
      </c>
      <c r="G265" s="24">
        <v>1300.0</v>
      </c>
      <c r="H265" s="24">
        <v>798200.0</v>
      </c>
      <c r="I265" s="24">
        <v>63117.16</v>
      </c>
      <c r="J265" s="24">
        <v>10356.44</v>
      </c>
      <c r="K265" s="22" t="s">
        <v>112</v>
      </c>
      <c r="L265" s="29">
        <v>9.0</v>
      </c>
      <c r="M265" s="22" t="s">
        <v>340</v>
      </c>
    </row>
    <row r="266" ht="15.75" customHeight="1">
      <c r="A266" s="22" t="s">
        <v>381</v>
      </c>
      <c r="B266" s="23">
        <v>46003.0</v>
      </c>
      <c r="C266" s="22" t="s">
        <v>38</v>
      </c>
      <c r="D266" s="22" t="s">
        <v>108</v>
      </c>
      <c r="E266" s="29">
        <v>289.0</v>
      </c>
      <c r="F266" s="24">
        <v>1290.0</v>
      </c>
      <c r="G266" s="24">
        <v>1290.0</v>
      </c>
      <c r="H266" s="24">
        <v>372810.0</v>
      </c>
      <c r="I266" s="24">
        <v>24975.14</v>
      </c>
      <c r="J266" s="24">
        <v>0.0</v>
      </c>
      <c r="K266" s="22" t="s">
        <v>116</v>
      </c>
      <c r="L266" s="29">
        <v>5.0</v>
      </c>
      <c r="M266" s="22" t="s">
        <v>340</v>
      </c>
    </row>
    <row r="267" ht="15.75" customHeight="1">
      <c r="A267" s="22" t="s">
        <v>382</v>
      </c>
      <c r="B267" s="23">
        <v>46003.0</v>
      </c>
      <c r="C267" s="22" t="s">
        <v>56</v>
      </c>
      <c r="D267" s="22" t="s">
        <v>10</v>
      </c>
      <c r="E267" s="29">
        <v>343.0</v>
      </c>
      <c r="F267" s="24">
        <v>820.0</v>
      </c>
      <c r="G267" s="24">
        <v>820.0</v>
      </c>
      <c r="H267" s="24">
        <v>281260.0</v>
      </c>
      <c r="I267" s="24">
        <v>3276.61</v>
      </c>
      <c r="J267" s="24">
        <v>2397.46</v>
      </c>
      <c r="K267" s="22" t="s">
        <v>109</v>
      </c>
      <c r="L267" s="29">
        <v>9.0</v>
      </c>
      <c r="M267" s="22" t="s">
        <v>340</v>
      </c>
    </row>
    <row r="268" ht="15.75" customHeight="1">
      <c r="A268" s="22" t="s">
        <v>383</v>
      </c>
      <c r="B268" s="23">
        <v>46003.0</v>
      </c>
      <c r="C268" s="22" t="s">
        <v>48</v>
      </c>
      <c r="D268" s="22" t="s">
        <v>108</v>
      </c>
      <c r="E268" s="29">
        <v>149.0</v>
      </c>
      <c r="F268" s="24">
        <v>1300.0</v>
      </c>
      <c r="G268" s="24">
        <v>1300.0</v>
      </c>
      <c r="H268" s="24">
        <v>193700.0</v>
      </c>
      <c r="I268" s="24">
        <v>7898.69</v>
      </c>
      <c r="J268" s="24">
        <v>2389.52</v>
      </c>
      <c r="K268" s="22" t="s">
        <v>112</v>
      </c>
      <c r="L268" s="29">
        <v>1.0</v>
      </c>
      <c r="M268" s="22" t="s">
        <v>340</v>
      </c>
    </row>
    <row r="269" ht="15.75" customHeight="1">
      <c r="A269" s="22" t="s">
        <v>384</v>
      </c>
      <c r="B269" s="23">
        <v>46003.0</v>
      </c>
      <c r="C269" s="22" t="s">
        <v>48</v>
      </c>
      <c r="D269" s="22" t="s">
        <v>10</v>
      </c>
      <c r="E269" s="29">
        <v>341.0</v>
      </c>
      <c r="F269" s="24">
        <v>850.0</v>
      </c>
      <c r="G269" s="24">
        <v>850.0</v>
      </c>
      <c r="H269" s="24">
        <v>289850.0</v>
      </c>
      <c r="I269" s="24">
        <v>7475.01</v>
      </c>
      <c r="J269" s="24">
        <v>1120.84</v>
      </c>
      <c r="K269" s="22" t="s">
        <v>133</v>
      </c>
      <c r="L269" s="29">
        <v>5.0</v>
      </c>
      <c r="M269" s="22" t="s">
        <v>340</v>
      </c>
    </row>
    <row r="270" ht="15.75" customHeight="1">
      <c r="A270" s="22" t="s">
        <v>385</v>
      </c>
      <c r="B270" s="23">
        <v>46003.0</v>
      </c>
      <c r="C270" s="22" t="s">
        <v>38</v>
      </c>
      <c r="D270" s="22" t="s">
        <v>10</v>
      </c>
      <c r="E270" s="29">
        <v>499.0</v>
      </c>
      <c r="F270" s="24">
        <v>845.0</v>
      </c>
      <c r="G270" s="24">
        <v>845.0</v>
      </c>
      <c r="H270" s="24">
        <v>421655.0</v>
      </c>
      <c r="I270" s="24">
        <v>28732.08</v>
      </c>
      <c r="J270" s="24">
        <v>0.0</v>
      </c>
      <c r="K270" s="22" t="s">
        <v>116</v>
      </c>
      <c r="L270" s="29">
        <v>12.0</v>
      </c>
      <c r="M270" s="22" t="s">
        <v>340</v>
      </c>
    </row>
    <row r="271" ht="15.75" customHeight="1">
      <c r="A271" s="22" t="s">
        <v>386</v>
      </c>
      <c r="B271" s="23">
        <v>46003.0</v>
      </c>
      <c r="C271" s="22" t="s">
        <v>48</v>
      </c>
      <c r="D271" s="22" t="s">
        <v>49</v>
      </c>
      <c r="E271" s="29">
        <v>260.0</v>
      </c>
      <c r="F271" s="24">
        <v>240.0</v>
      </c>
      <c r="G271" s="24">
        <v>240.0</v>
      </c>
      <c r="H271" s="24">
        <v>62400.0</v>
      </c>
      <c r="I271" s="24">
        <v>1429.53</v>
      </c>
      <c r="J271" s="24">
        <v>0.0</v>
      </c>
      <c r="K271" s="22" t="s">
        <v>116</v>
      </c>
      <c r="L271" s="29">
        <v>6.0</v>
      </c>
      <c r="M271" s="22" t="s">
        <v>340</v>
      </c>
    </row>
    <row r="272" ht="15.75" customHeight="1">
      <c r="A272" s="22" t="s">
        <v>387</v>
      </c>
      <c r="B272" s="23">
        <v>46004.0</v>
      </c>
      <c r="C272" s="22" t="s">
        <v>56</v>
      </c>
      <c r="D272" s="22" t="s">
        <v>49</v>
      </c>
      <c r="E272" s="29">
        <v>213.0</v>
      </c>
      <c r="F272" s="24">
        <v>230.0</v>
      </c>
      <c r="G272" s="24">
        <v>230.0</v>
      </c>
      <c r="H272" s="24">
        <v>48990.0</v>
      </c>
      <c r="I272" s="24">
        <v>2299.66</v>
      </c>
      <c r="J272" s="24">
        <v>0.0</v>
      </c>
      <c r="K272" s="22" t="s">
        <v>116</v>
      </c>
      <c r="L272" s="29">
        <v>8.0</v>
      </c>
      <c r="M272" s="22" t="s">
        <v>340</v>
      </c>
    </row>
    <row r="273" ht="15.75" customHeight="1">
      <c r="A273" s="22" t="s">
        <v>388</v>
      </c>
      <c r="B273" s="23">
        <v>46004.0</v>
      </c>
      <c r="C273" s="22" t="s">
        <v>48</v>
      </c>
      <c r="D273" s="22" t="s">
        <v>10</v>
      </c>
      <c r="E273" s="29">
        <v>136.0</v>
      </c>
      <c r="F273" s="24">
        <v>850.0</v>
      </c>
      <c r="G273" s="24">
        <v>850.0</v>
      </c>
      <c r="H273" s="24">
        <v>115600.0</v>
      </c>
      <c r="I273" s="24">
        <v>4235.8</v>
      </c>
      <c r="J273" s="24">
        <v>367.5</v>
      </c>
      <c r="K273" s="22" t="s">
        <v>133</v>
      </c>
      <c r="L273" s="29">
        <v>3.0</v>
      </c>
      <c r="M273" s="22" t="s">
        <v>340</v>
      </c>
    </row>
    <row r="274" ht="15.75" customHeight="1">
      <c r="A274" s="22" t="s">
        <v>389</v>
      </c>
      <c r="B274" s="23">
        <v>46005.0</v>
      </c>
      <c r="C274" s="22" t="s">
        <v>56</v>
      </c>
      <c r="D274" s="22" t="s">
        <v>108</v>
      </c>
      <c r="E274" s="29">
        <v>237.0</v>
      </c>
      <c r="F274" s="24">
        <v>1250.0</v>
      </c>
      <c r="G274" s="24">
        <v>1250.0</v>
      </c>
      <c r="H274" s="24">
        <v>296250.0</v>
      </c>
      <c r="I274" s="24">
        <v>10091.83</v>
      </c>
      <c r="J274" s="24">
        <v>1202.89</v>
      </c>
      <c r="K274" s="22" t="s">
        <v>112</v>
      </c>
      <c r="L274" s="29">
        <v>2.0</v>
      </c>
      <c r="M274" s="22" t="s">
        <v>340</v>
      </c>
    </row>
    <row r="275" ht="15.75" customHeight="1">
      <c r="A275" s="22" t="s">
        <v>390</v>
      </c>
      <c r="B275" s="23">
        <v>46005.0</v>
      </c>
      <c r="C275" s="22" t="s">
        <v>38</v>
      </c>
      <c r="D275" s="22" t="s">
        <v>10</v>
      </c>
      <c r="E275" s="29">
        <v>172.0</v>
      </c>
      <c r="F275" s="24">
        <v>845.0</v>
      </c>
      <c r="G275" s="24">
        <v>845.0</v>
      </c>
      <c r="H275" s="24">
        <v>145340.0</v>
      </c>
      <c r="I275" s="24">
        <v>13550.53</v>
      </c>
      <c r="J275" s="24">
        <v>0.0</v>
      </c>
      <c r="K275" s="22" t="s">
        <v>116</v>
      </c>
      <c r="L275" s="29">
        <v>4.0</v>
      </c>
      <c r="M275" s="22" t="s">
        <v>340</v>
      </c>
    </row>
    <row r="276" ht="15.75" customHeight="1">
      <c r="A276" s="22" t="s">
        <v>391</v>
      </c>
      <c r="B276" s="23">
        <v>46005.0</v>
      </c>
      <c r="C276" s="22" t="s">
        <v>38</v>
      </c>
      <c r="D276" s="22" t="s">
        <v>49</v>
      </c>
      <c r="E276" s="29">
        <v>545.0</v>
      </c>
      <c r="F276" s="24">
        <v>235.0</v>
      </c>
      <c r="G276" s="24">
        <v>235.0</v>
      </c>
      <c r="H276" s="24">
        <v>128075.0</v>
      </c>
      <c r="I276" s="24">
        <v>6527.42</v>
      </c>
      <c r="J276" s="24">
        <v>1554.44</v>
      </c>
      <c r="K276" s="22" t="s">
        <v>109</v>
      </c>
      <c r="L276" s="29">
        <v>25.0</v>
      </c>
      <c r="M276" s="22" t="s">
        <v>340</v>
      </c>
    </row>
    <row r="277" ht="15.75" customHeight="1">
      <c r="A277" s="22" t="s">
        <v>392</v>
      </c>
      <c r="B277" s="23">
        <v>46006.0</v>
      </c>
      <c r="C277" s="22" t="s">
        <v>48</v>
      </c>
      <c r="D277" s="22" t="s">
        <v>49</v>
      </c>
      <c r="E277" s="29">
        <v>202.0</v>
      </c>
      <c r="F277" s="24">
        <v>240.0</v>
      </c>
      <c r="G277" s="24">
        <v>240.0</v>
      </c>
      <c r="H277" s="24">
        <v>48480.0</v>
      </c>
      <c r="I277" s="24">
        <v>2366.29</v>
      </c>
      <c r="J277" s="24">
        <v>0.0</v>
      </c>
      <c r="K277" s="22" t="s">
        <v>116</v>
      </c>
      <c r="L277" s="29">
        <v>8.0</v>
      </c>
      <c r="M277" s="22" t="s">
        <v>340</v>
      </c>
    </row>
    <row r="278" ht="15.75" customHeight="1">
      <c r="A278" s="22" t="s">
        <v>393</v>
      </c>
      <c r="B278" s="23">
        <v>46006.0</v>
      </c>
      <c r="C278" s="22" t="s">
        <v>38</v>
      </c>
      <c r="D278" s="22" t="s">
        <v>10</v>
      </c>
      <c r="E278" s="29">
        <v>679.0</v>
      </c>
      <c r="F278" s="24">
        <v>845.0</v>
      </c>
      <c r="G278" s="24">
        <v>845.0</v>
      </c>
      <c r="H278" s="24">
        <v>573755.0</v>
      </c>
      <c r="I278" s="24">
        <v>20719.14</v>
      </c>
      <c r="J278" s="24">
        <v>8006.89</v>
      </c>
      <c r="K278" s="22" t="s">
        <v>109</v>
      </c>
      <c r="L278" s="29">
        <v>15.0</v>
      </c>
      <c r="M278" s="22" t="s">
        <v>340</v>
      </c>
    </row>
    <row r="279" ht="15.75" customHeight="1">
      <c r="A279" s="22" t="s">
        <v>394</v>
      </c>
      <c r="B279" s="23">
        <v>46006.0</v>
      </c>
      <c r="C279" s="22" t="s">
        <v>48</v>
      </c>
      <c r="D279" s="22" t="s">
        <v>49</v>
      </c>
      <c r="E279" s="29">
        <v>641.0</v>
      </c>
      <c r="F279" s="24">
        <v>240.0</v>
      </c>
      <c r="G279" s="24">
        <v>240.0</v>
      </c>
      <c r="H279" s="24">
        <v>153840.0</v>
      </c>
      <c r="I279" s="24">
        <v>11063.24</v>
      </c>
      <c r="J279" s="24">
        <v>0.0</v>
      </c>
      <c r="K279" s="22" t="s">
        <v>116</v>
      </c>
      <c r="L279" s="29">
        <v>18.0</v>
      </c>
      <c r="M279" s="22" t="s">
        <v>340</v>
      </c>
    </row>
    <row r="280" ht="15.75" customHeight="1">
      <c r="A280" s="22" t="s">
        <v>395</v>
      </c>
      <c r="B280" s="23">
        <v>46006.0</v>
      </c>
      <c r="C280" s="22" t="s">
        <v>38</v>
      </c>
      <c r="D280" s="22" t="s">
        <v>108</v>
      </c>
      <c r="E280" s="29">
        <v>172.0</v>
      </c>
      <c r="F280" s="24">
        <v>1290.0</v>
      </c>
      <c r="G280" s="24">
        <v>1290.0</v>
      </c>
      <c r="H280" s="24">
        <v>221880.0</v>
      </c>
      <c r="I280" s="24">
        <v>6161.81</v>
      </c>
      <c r="J280" s="24">
        <v>0.0</v>
      </c>
      <c r="K280" s="22" t="s">
        <v>116</v>
      </c>
      <c r="L280" s="29">
        <v>4.0</v>
      </c>
      <c r="M280" s="22" t="s">
        <v>340</v>
      </c>
    </row>
    <row r="281" ht="15.75" customHeight="1">
      <c r="A281" s="22" t="s">
        <v>396</v>
      </c>
      <c r="B281" s="23">
        <v>46007.0</v>
      </c>
      <c r="C281" s="22" t="s">
        <v>38</v>
      </c>
      <c r="D281" s="22" t="s">
        <v>10</v>
      </c>
      <c r="E281" s="29">
        <v>381.0</v>
      </c>
      <c r="F281" s="24">
        <v>845.0</v>
      </c>
      <c r="G281" s="24">
        <v>845.0</v>
      </c>
      <c r="H281" s="24">
        <v>321945.0</v>
      </c>
      <c r="I281" s="24">
        <v>28591.41</v>
      </c>
      <c r="J281" s="24">
        <v>0.0</v>
      </c>
      <c r="K281" s="22" t="s">
        <v>116</v>
      </c>
      <c r="L281" s="29">
        <v>14.0</v>
      </c>
      <c r="M281" s="22" t="s">
        <v>340</v>
      </c>
    </row>
    <row r="282" ht="15.75" customHeight="1">
      <c r="A282" s="22" t="s">
        <v>397</v>
      </c>
      <c r="B282" s="23">
        <v>46007.0</v>
      </c>
      <c r="C282" s="22" t="s">
        <v>38</v>
      </c>
      <c r="D282" s="22" t="s">
        <v>108</v>
      </c>
      <c r="E282" s="29">
        <v>311.0</v>
      </c>
      <c r="F282" s="24">
        <v>1290.0</v>
      </c>
      <c r="G282" s="24">
        <v>1290.0</v>
      </c>
      <c r="H282" s="24">
        <v>401190.0</v>
      </c>
      <c r="I282" s="24">
        <v>22047.3</v>
      </c>
      <c r="J282" s="24">
        <v>0.0</v>
      </c>
      <c r="K282" s="22" t="s">
        <v>116</v>
      </c>
      <c r="L282" s="29">
        <v>8.0</v>
      </c>
      <c r="M282" s="22" t="s">
        <v>340</v>
      </c>
    </row>
    <row r="283" ht="15.75" customHeight="1">
      <c r="A283" s="22" t="s">
        <v>398</v>
      </c>
      <c r="B283" s="23">
        <v>46007.0</v>
      </c>
      <c r="C283" s="22" t="s">
        <v>38</v>
      </c>
      <c r="D283" s="22" t="s">
        <v>108</v>
      </c>
      <c r="E283" s="29">
        <v>198.0</v>
      </c>
      <c r="F283" s="24">
        <v>1290.0</v>
      </c>
      <c r="G283" s="24">
        <v>1290.0</v>
      </c>
      <c r="H283" s="24">
        <v>255420.0</v>
      </c>
      <c r="I283" s="24">
        <v>18013.89</v>
      </c>
      <c r="J283" s="24">
        <v>0.0</v>
      </c>
      <c r="K283" s="22" t="s">
        <v>116</v>
      </c>
      <c r="L283" s="29">
        <v>5.0</v>
      </c>
      <c r="M283" s="22" t="s">
        <v>340</v>
      </c>
    </row>
    <row r="284" ht="15.75" customHeight="1">
      <c r="A284" s="22" t="s">
        <v>399</v>
      </c>
      <c r="B284" s="23">
        <v>46008.0</v>
      </c>
      <c r="C284" s="22" t="s">
        <v>48</v>
      </c>
      <c r="D284" s="22" t="s">
        <v>108</v>
      </c>
      <c r="E284" s="29">
        <v>371.0</v>
      </c>
      <c r="F284" s="24">
        <v>1300.0</v>
      </c>
      <c r="G284" s="24">
        <v>1300.0</v>
      </c>
      <c r="H284" s="24">
        <v>482300.0</v>
      </c>
      <c r="I284" s="24">
        <v>18232.64</v>
      </c>
      <c r="J284" s="24">
        <v>1725.81</v>
      </c>
      <c r="K284" s="22" t="s">
        <v>112</v>
      </c>
      <c r="L284" s="29">
        <v>4.0</v>
      </c>
      <c r="M284" s="22" t="s">
        <v>340</v>
      </c>
    </row>
    <row r="285" ht="15.75" customHeight="1">
      <c r="A285" s="22" t="s">
        <v>400</v>
      </c>
      <c r="B285" s="23">
        <v>46008.0</v>
      </c>
      <c r="C285" s="22" t="s">
        <v>38</v>
      </c>
      <c r="D285" s="22" t="s">
        <v>108</v>
      </c>
      <c r="E285" s="29">
        <v>844.0</v>
      </c>
      <c r="F285" s="24">
        <v>1290.0</v>
      </c>
      <c r="G285" s="24">
        <v>1290.0</v>
      </c>
      <c r="H285" s="24">
        <v>1088760.0</v>
      </c>
      <c r="I285" s="24">
        <v>44166.31</v>
      </c>
      <c r="J285" s="24">
        <v>8671.88</v>
      </c>
      <c r="K285" s="22" t="s">
        <v>109</v>
      </c>
      <c r="L285" s="29">
        <v>9.0</v>
      </c>
      <c r="M285" s="22" t="s">
        <v>340</v>
      </c>
    </row>
    <row r="286" ht="15.75" customHeight="1">
      <c r="A286" s="22" t="s">
        <v>401</v>
      </c>
      <c r="B286" s="23">
        <v>46008.0</v>
      </c>
      <c r="C286" s="22" t="s">
        <v>38</v>
      </c>
      <c r="D286" s="22" t="s">
        <v>108</v>
      </c>
      <c r="E286" s="29">
        <v>260.0</v>
      </c>
      <c r="F286" s="24">
        <v>1290.0</v>
      </c>
      <c r="G286" s="24">
        <v>1290.0</v>
      </c>
      <c r="H286" s="24">
        <v>335400.0</v>
      </c>
      <c r="I286" s="24">
        <v>21756.39</v>
      </c>
      <c r="J286" s="24">
        <v>5290.79</v>
      </c>
      <c r="K286" s="22" t="s">
        <v>109</v>
      </c>
      <c r="L286" s="29">
        <v>3.0</v>
      </c>
      <c r="M286" s="22" t="s">
        <v>340</v>
      </c>
    </row>
    <row r="287" ht="15.75" customHeight="1">
      <c r="A287" s="22" t="s">
        <v>402</v>
      </c>
      <c r="B287" s="23">
        <v>46009.0</v>
      </c>
      <c r="C287" s="22" t="s">
        <v>38</v>
      </c>
      <c r="D287" s="22" t="s">
        <v>108</v>
      </c>
      <c r="E287" s="29">
        <v>270.0</v>
      </c>
      <c r="F287" s="24">
        <v>1290.0</v>
      </c>
      <c r="G287" s="24">
        <v>1290.0</v>
      </c>
      <c r="H287" s="24">
        <v>348300.0</v>
      </c>
      <c r="I287" s="24">
        <v>9148.06</v>
      </c>
      <c r="J287" s="24">
        <v>4972.2</v>
      </c>
      <c r="K287" s="22" t="s">
        <v>112</v>
      </c>
      <c r="L287" s="29">
        <v>5.0</v>
      </c>
      <c r="M287" s="22" t="s">
        <v>340</v>
      </c>
    </row>
    <row r="288" ht="15.75" customHeight="1">
      <c r="A288" s="22" t="s">
        <v>403</v>
      </c>
      <c r="B288" s="23">
        <v>46009.0</v>
      </c>
      <c r="C288" s="22" t="s">
        <v>48</v>
      </c>
      <c r="D288" s="22" t="s">
        <v>10</v>
      </c>
      <c r="E288" s="29">
        <v>217.0</v>
      </c>
      <c r="F288" s="24">
        <v>850.0</v>
      </c>
      <c r="G288" s="24">
        <v>850.0</v>
      </c>
      <c r="H288" s="24">
        <v>184450.0</v>
      </c>
      <c r="I288" s="24">
        <v>10410.33</v>
      </c>
      <c r="J288" s="24">
        <v>3056.89</v>
      </c>
      <c r="K288" s="22" t="s">
        <v>109</v>
      </c>
      <c r="L288" s="29">
        <v>8.0</v>
      </c>
      <c r="M288" s="22" t="s">
        <v>340</v>
      </c>
    </row>
    <row r="289" ht="15.75" customHeight="1">
      <c r="A289" s="22" t="s">
        <v>404</v>
      </c>
      <c r="B289" s="23">
        <v>46009.0</v>
      </c>
      <c r="C289" s="22" t="s">
        <v>38</v>
      </c>
      <c r="D289" s="22" t="s">
        <v>10</v>
      </c>
      <c r="E289" s="29">
        <v>201.0</v>
      </c>
      <c r="F289" s="24">
        <v>845.0</v>
      </c>
      <c r="G289" s="24">
        <v>845.0</v>
      </c>
      <c r="H289" s="24">
        <v>169845.0</v>
      </c>
      <c r="I289" s="24">
        <v>5804.08</v>
      </c>
      <c r="J289" s="24">
        <v>0.0</v>
      </c>
      <c r="K289" s="22" t="s">
        <v>116</v>
      </c>
      <c r="L289" s="29">
        <v>8.0</v>
      </c>
      <c r="M289" s="22" t="s">
        <v>340</v>
      </c>
    </row>
    <row r="290" ht="15.75" customHeight="1">
      <c r="A290" s="22" t="s">
        <v>405</v>
      </c>
      <c r="B290" s="23">
        <v>46009.0</v>
      </c>
      <c r="C290" s="22" t="s">
        <v>48</v>
      </c>
      <c r="D290" s="22" t="s">
        <v>49</v>
      </c>
      <c r="E290" s="29">
        <v>374.0</v>
      </c>
      <c r="F290" s="24">
        <v>240.0</v>
      </c>
      <c r="G290" s="24">
        <v>240.0</v>
      </c>
      <c r="H290" s="24">
        <v>89760.0</v>
      </c>
      <c r="I290" s="24">
        <v>4106.06</v>
      </c>
      <c r="J290" s="24">
        <v>0.0</v>
      </c>
      <c r="K290" s="22" t="s">
        <v>116</v>
      </c>
      <c r="L290" s="29">
        <v>12.0</v>
      </c>
      <c r="M290" s="22" t="s">
        <v>340</v>
      </c>
    </row>
    <row r="291" ht="15.75" customHeight="1">
      <c r="A291" s="22" t="s">
        <v>406</v>
      </c>
      <c r="B291" s="23">
        <v>46009.0</v>
      </c>
      <c r="C291" s="22" t="s">
        <v>48</v>
      </c>
      <c r="D291" s="22" t="s">
        <v>49</v>
      </c>
      <c r="E291" s="29">
        <v>345.0</v>
      </c>
      <c r="F291" s="24">
        <v>240.0</v>
      </c>
      <c r="G291" s="24">
        <v>240.0</v>
      </c>
      <c r="H291" s="24">
        <v>82800.0</v>
      </c>
      <c r="I291" s="24">
        <v>3915.71</v>
      </c>
      <c r="J291" s="24">
        <v>718.05</v>
      </c>
      <c r="K291" s="22" t="s">
        <v>112</v>
      </c>
      <c r="L291" s="29">
        <v>11.0</v>
      </c>
      <c r="M291" s="22" t="s">
        <v>340</v>
      </c>
    </row>
    <row r="292" ht="15.75" customHeight="1">
      <c r="A292" s="22" t="s">
        <v>407</v>
      </c>
      <c r="B292" s="23">
        <v>46009.0</v>
      </c>
      <c r="C292" s="22" t="s">
        <v>48</v>
      </c>
      <c r="D292" s="22" t="s">
        <v>108</v>
      </c>
      <c r="E292" s="29">
        <v>358.0</v>
      </c>
      <c r="F292" s="24">
        <v>1300.0</v>
      </c>
      <c r="G292" s="24">
        <v>1300.0</v>
      </c>
      <c r="H292" s="24">
        <v>465400.0</v>
      </c>
      <c r="I292" s="24">
        <v>10767.46</v>
      </c>
      <c r="J292" s="24">
        <v>0.0</v>
      </c>
      <c r="K292" s="22" t="s">
        <v>116</v>
      </c>
      <c r="L292" s="29">
        <v>4.0</v>
      </c>
      <c r="M292" s="22" t="s">
        <v>340</v>
      </c>
    </row>
    <row r="293" ht="15.75" customHeight="1">
      <c r="A293" s="22" t="s">
        <v>408</v>
      </c>
      <c r="B293" s="23">
        <v>46010.0</v>
      </c>
      <c r="C293" s="22" t="s">
        <v>38</v>
      </c>
      <c r="D293" s="22" t="s">
        <v>10</v>
      </c>
      <c r="E293" s="29">
        <v>181.0</v>
      </c>
      <c r="F293" s="24">
        <v>845.0</v>
      </c>
      <c r="G293" s="24">
        <v>845.0</v>
      </c>
      <c r="H293" s="24">
        <v>152945.0</v>
      </c>
      <c r="I293" s="24">
        <v>4143.01</v>
      </c>
      <c r="J293" s="24">
        <v>2607.27</v>
      </c>
      <c r="K293" s="22" t="s">
        <v>109</v>
      </c>
      <c r="L293" s="29">
        <v>6.0</v>
      </c>
      <c r="M293" s="22" t="s">
        <v>340</v>
      </c>
    </row>
    <row r="294" ht="15.75" customHeight="1">
      <c r="A294" s="22" t="s">
        <v>409</v>
      </c>
      <c r="B294" s="23">
        <v>46010.0</v>
      </c>
      <c r="C294" s="22" t="s">
        <v>48</v>
      </c>
      <c r="D294" s="22" t="s">
        <v>10</v>
      </c>
      <c r="E294" s="29">
        <v>645.0</v>
      </c>
      <c r="F294" s="24">
        <v>850.0</v>
      </c>
      <c r="G294" s="24">
        <v>850.0</v>
      </c>
      <c r="H294" s="24">
        <v>548250.0</v>
      </c>
      <c r="I294" s="24">
        <v>29109.09</v>
      </c>
      <c r="J294" s="24">
        <v>0.0</v>
      </c>
      <c r="K294" s="22" t="s">
        <v>116</v>
      </c>
      <c r="L294" s="29">
        <v>16.0</v>
      </c>
      <c r="M294" s="22" t="s">
        <v>340</v>
      </c>
    </row>
    <row r="295" ht="15.75" customHeight="1">
      <c r="A295" s="22" t="s">
        <v>410</v>
      </c>
      <c r="B295" s="23">
        <v>46010.0</v>
      </c>
      <c r="C295" s="22" t="s">
        <v>48</v>
      </c>
      <c r="D295" s="22" t="s">
        <v>10</v>
      </c>
      <c r="E295" s="29">
        <v>413.0</v>
      </c>
      <c r="F295" s="24">
        <v>850.0</v>
      </c>
      <c r="G295" s="24">
        <v>850.0</v>
      </c>
      <c r="H295" s="24">
        <v>351050.0</v>
      </c>
      <c r="I295" s="24">
        <v>6600.16</v>
      </c>
      <c r="J295" s="24">
        <v>4167.46</v>
      </c>
      <c r="K295" s="22" t="s">
        <v>133</v>
      </c>
      <c r="L295" s="29">
        <v>10.0</v>
      </c>
      <c r="M295" s="22" t="s">
        <v>340</v>
      </c>
    </row>
    <row r="296" ht="15.75" customHeight="1">
      <c r="A296" s="22" t="s">
        <v>411</v>
      </c>
      <c r="B296" s="23">
        <v>46010.0</v>
      </c>
      <c r="C296" s="22" t="s">
        <v>38</v>
      </c>
      <c r="D296" s="22" t="s">
        <v>49</v>
      </c>
      <c r="E296" s="29">
        <v>190.0</v>
      </c>
      <c r="F296" s="24">
        <v>235.0</v>
      </c>
      <c r="G296" s="24">
        <v>235.0</v>
      </c>
      <c r="H296" s="24">
        <v>44650.0</v>
      </c>
      <c r="I296" s="24">
        <v>4196.11</v>
      </c>
      <c r="J296" s="24">
        <v>0.0</v>
      </c>
      <c r="K296" s="22" t="s">
        <v>116</v>
      </c>
      <c r="L296" s="29">
        <v>3.0</v>
      </c>
      <c r="M296" s="22" t="s">
        <v>340</v>
      </c>
    </row>
    <row r="297" ht="15.75" customHeight="1">
      <c r="A297" s="22" t="s">
        <v>412</v>
      </c>
      <c r="B297" s="23">
        <v>46010.0</v>
      </c>
      <c r="C297" s="22" t="s">
        <v>48</v>
      </c>
      <c r="D297" s="22" t="s">
        <v>10</v>
      </c>
      <c r="E297" s="29">
        <v>365.0</v>
      </c>
      <c r="F297" s="24">
        <v>850.0</v>
      </c>
      <c r="G297" s="24">
        <v>850.0</v>
      </c>
      <c r="H297" s="24">
        <v>310250.0</v>
      </c>
      <c r="I297" s="24">
        <v>24507.37</v>
      </c>
      <c r="J297" s="24">
        <v>0.0</v>
      </c>
      <c r="K297" s="22" t="s">
        <v>116</v>
      </c>
      <c r="L297" s="29">
        <v>13.0</v>
      </c>
      <c r="M297" s="22" t="s">
        <v>340</v>
      </c>
    </row>
    <row r="298" ht="15.75" customHeight="1">
      <c r="A298" s="22" t="s">
        <v>413</v>
      </c>
      <c r="B298" s="23">
        <v>46010.0</v>
      </c>
      <c r="C298" s="22" t="s">
        <v>56</v>
      </c>
      <c r="D298" s="22" t="s">
        <v>10</v>
      </c>
      <c r="E298" s="29">
        <v>569.0</v>
      </c>
      <c r="F298" s="24">
        <v>820.0</v>
      </c>
      <c r="G298" s="24">
        <v>820.0</v>
      </c>
      <c r="H298" s="24">
        <v>466580.0</v>
      </c>
      <c r="I298" s="24">
        <v>13527.46</v>
      </c>
      <c r="J298" s="24">
        <v>0.0</v>
      </c>
      <c r="K298" s="22" t="s">
        <v>116</v>
      </c>
      <c r="L298" s="29">
        <v>11.0</v>
      </c>
      <c r="M298" s="22" t="s">
        <v>340</v>
      </c>
    </row>
    <row r="299" ht="15.75" customHeight="1">
      <c r="A299" s="22" t="s">
        <v>414</v>
      </c>
      <c r="B299" s="23">
        <v>46011.0</v>
      </c>
      <c r="C299" s="22" t="s">
        <v>48</v>
      </c>
      <c r="D299" s="22" t="s">
        <v>108</v>
      </c>
      <c r="E299" s="29">
        <v>705.0</v>
      </c>
      <c r="F299" s="24">
        <v>1300.0</v>
      </c>
      <c r="G299" s="24">
        <v>1300.0</v>
      </c>
      <c r="H299" s="24">
        <v>916500.0</v>
      </c>
      <c r="I299" s="24">
        <v>43326.17</v>
      </c>
      <c r="J299" s="24">
        <v>11480.26</v>
      </c>
      <c r="K299" s="22" t="s">
        <v>133</v>
      </c>
      <c r="L299" s="29">
        <v>14.0</v>
      </c>
      <c r="M299" s="22" t="s">
        <v>340</v>
      </c>
    </row>
    <row r="300" ht="15.75" customHeight="1">
      <c r="A300" s="22" t="s">
        <v>415</v>
      </c>
      <c r="B300" s="23">
        <v>46011.0</v>
      </c>
      <c r="C300" s="22" t="s">
        <v>48</v>
      </c>
      <c r="D300" s="22" t="s">
        <v>10</v>
      </c>
      <c r="E300" s="29">
        <v>326.0</v>
      </c>
      <c r="F300" s="24">
        <v>850.0</v>
      </c>
      <c r="G300" s="24">
        <v>850.0</v>
      </c>
      <c r="H300" s="24">
        <v>277100.0</v>
      </c>
      <c r="I300" s="24">
        <v>7571.08</v>
      </c>
      <c r="J300" s="24">
        <v>1095.71</v>
      </c>
      <c r="K300" s="22" t="s">
        <v>109</v>
      </c>
      <c r="L300" s="29">
        <v>3.0</v>
      </c>
      <c r="M300" s="22" t="s">
        <v>340</v>
      </c>
    </row>
    <row r="301" ht="15.75" customHeight="1">
      <c r="A301" s="22" t="s">
        <v>416</v>
      </c>
      <c r="B301" s="23">
        <v>46012.0</v>
      </c>
      <c r="C301" s="22" t="s">
        <v>48</v>
      </c>
      <c r="D301" s="22" t="s">
        <v>49</v>
      </c>
      <c r="E301" s="29">
        <v>507.0</v>
      </c>
      <c r="F301" s="24">
        <v>240.0</v>
      </c>
      <c r="G301" s="24">
        <v>240.0</v>
      </c>
      <c r="H301" s="24">
        <v>121680.0</v>
      </c>
      <c r="I301" s="24">
        <v>8695.23</v>
      </c>
      <c r="J301" s="24">
        <v>0.0</v>
      </c>
      <c r="K301" s="22" t="s">
        <v>116</v>
      </c>
      <c r="L301" s="29">
        <v>8.0</v>
      </c>
      <c r="M301" s="22" t="s">
        <v>340</v>
      </c>
    </row>
    <row r="302" ht="15.75" customHeight="1">
      <c r="A302" s="22" t="s">
        <v>417</v>
      </c>
      <c r="B302" s="23">
        <v>46012.0</v>
      </c>
      <c r="C302" s="22" t="s">
        <v>38</v>
      </c>
      <c r="D302" s="22" t="s">
        <v>108</v>
      </c>
      <c r="E302" s="29">
        <v>388.0</v>
      </c>
      <c r="F302" s="24">
        <v>1290.0</v>
      </c>
      <c r="G302" s="24">
        <v>1290.0</v>
      </c>
      <c r="H302" s="24">
        <v>500520.0</v>
      </c>
      <c r="I302" s="24">
        <v>25289.06</v>
      </c>
      <c r="J302" s="24">
        <v>0.0</v>
      </c>
      <c r="K302" s="22" t="s">
        <v>116</v>
      </c>
      <c r="L302" s="29">
        <v>3.0</v>
      </c>
      <c r="M302" s="22" t="s">
        <v>340</v>
      </c>
    </row>
    <row r="303" ht="15.75" customHeight="1">
      <c r="A303" s="22" t="s">
        <v>418</v>
      </c>
      <c r="B303" s="23">
        <v>46012.0</v>
      </c>
      <c r="C303" s="22" t="s">
        <v>56</v>
      </c>
      <c r="D303" s="22" t="s">
        <v>49</v>
      </c>
      <c r="E303" s="29">
        <v>407.0</v>
      </c>
      <c r="F303" s="24">
        <v>230.0</v>
      </c>
      <c r="G303" s="24">
        <v>230.0</v>
      </c>
      <c r="H303" s="24">
        <v>93610.0</v>
      </c>
      <c r="I303" s="24">
        <v>2607.82</v>
      </c>
      <c r="J303" s="24">
        <v>522.69</v>
      </c>
      <c r="K303" s="22" t="s">
        <v>109</v>
      </c>
      <c r="L303" s="29">
        <v>9.0</v>
      </c>
      <c r="M303" s="22" t="s">
        <v>340</v>
      </c>
    </row>
    <row r="304" ht="15.75" customHeight="1">
      <c r="A304" s="22" t="s">
        <v>419</v>
      </c>
      <c r="B304" s="23">
        <v>46012.0</v>
      </c>
      <c r="C304" s="22" t="s">
        <v>48</v>
      </c>
      <c r="D304" s="22" t="s">
        <v>10</v>
      </c>
      <c r="E304" s="29">
        <v>679.0</v>
      </c>
      <c r="F304" s="24">
        <v>850.0</v>
      </c>
      <c r="G304" s="24">
        <v>850.0</v>
      </c>
      <c r="H304" s="24">
        <v>577150.0</v>
      </c>
      <c r="I304" s="24">
        <v>29312.61</v>
      </c>
      <c r="J304" s="24">
        <v>2013.92</v>
      </c>
      <c r="K304" s="22" t="s">
        <v>109</v>
      </c>
      <c r="L304" s="29">
        <v>16.0</v>
      </c>
      <c r="M304" s="22" t="s">
        <v>340</v>
      </c>
    </row>
    <row r="305" ht="15.75" customHeight="1">
      <c r="A305" s="22" t="s">
        <v>420</v>
      </c>
      <c r="B305" s="23">
        <v>46012.0</v>
      </c>
      <c r="C305" s="22" t="s">
        <v>48</v>
      </c>
      <c r="D305" s="22" t="s">
        <v>10</v>
      </c>
      <c r="E305" s="29">
        <v>370.0</v>
      </c>
      <c r="F305" s="24">
        <v>850.0</v>
      </c>
      <c r="G305" s="24">
        <v>850.0</v>
      </c>
      <c r="H305" s="24">
        <v>314500.0</v>
      </c>
      <c r="I305" s="24">
        <v>8827.01</v>
      </c>
      <c r="J305" s="24">
        <v>4377.45</v>
      </c>
      <c r="K305" s="22" t="s">
        <v>133</v>
      </c>
      <c r="L305" s="29">
        <v>5.0</v>
      </c>
      <c r="M305" s="22" t="s">
        <v>340</v>
      </c>
    </row>
    <row r="306" ht="15.75" customHeight="1">
      <c r="A306" s="22" t="s">
        <v>421</v>
      </c>
      <c r="B306" s="23">
        <v>46012.0</v>
      </c>
      <c r="C306" s="22" t="s">
        <v>56</v>
      </c>
      <c r="D306" s="22" t="s">
        <v>108</v>
      </c>
      <c r="E306" s="29">
        <v>408.0</v>
      </c>
      <c r="F306" s="24">
        <v>1250.0</v>
      </c>
      <c r="G306" s="24">
        <v>1250.0</v>
      </c>
      <c r="H306" s="24">
        <v>510000.0</v>
      </c>
      <c r="I306" s="24">
        <v>11881.25</v>
      </c>
      <c r="J306" s="24">
        <v>1139.01</v>
      </c>
      <c r="K306" s="22" t="s">
        <v>114</v>
      </c>
      <c r="L306" s="29">
        <v>8.0</v>
      </c>
      <c r="M306" s="22" t="s">
        <v>340</v>
      </c>
    </row>
    <row r="307" ht="15.75" customHeight="1">
      <c r="A307" s="22" t="s">
        <v>422</v>
      </c>
      <c r="B307" s="23">
        <v>46012.0</v>
      </c>
      <c r="C307" s="22" t="s">
        <v>48</v>
      </c>
      <c r="D307" s="22" t="s">
        <v>10</v>
      </c>
      <c r="E307" s="29">
        <v>308.0</v>
      </c>
      <c r="F307" s="24">
        <v>850.0</v>
      </c>
      <c r="G307" s="24">
        <v>850.0</v>
      </c>
      <c r="H307" s="24">
        <v>261800.0</v>
      </c>
      <c r="I307" s="24">
        <v>7470.21</v>
      </c>
      <c r="J307" s="24">
        <v>0.0</v>
      </c>
      <c r="K307" s="22" t="s">
        <v>116</v>
      </c>
      <c r="L307" s="29">
        <v>5.0</v>
      </c>
      <c r="M307" s="22" t="s">
        <v>340</v>
      </c>
    </row>
    <row r="308" ht="15.75" customHeight="1">
      <c r="A308" s="22" t="s">
        <v>423</v>
      </c>
      <c r="B308" s="23">
        <v>46013.0</v>
      </c>
      <c r="C308" s="22" t="s">
        <v>56</v>
      </c>
      <c r="D308" s="22" t="s">
        <v>108</v>
      </c>
      <c r="E308" s="29">
        <v>219.0</v>
      </c>
      <c r="F308" s="24">
        <v>1250.0</v>
      </c>
      <c r="G308" s="24">
        <v>1250.0</v>
      </c>
      <c r="H308" s="24">
        <v>273750.0</v>
      </c>
      <c r="I308" s="24">
        <v>3601.99</v>
      </c>
      <c r="J308" s="24">
        <v>1314.25</v>
      </c>
      <c r="K308" s="22" t="s">
        <v>133</v>
      </c>
      <c r="L308" s="29">
        <v>7.0</v>
      </c>
      <c r="M308" s="22" t="s">
        <v>340</v>
      </c>
    </row>
    <row r="309" ht="15.75" customHeight="1">
      <c r="A309" s="22" t="s">
        <v>424</v>
      </c>
      <c r="B309" s="23">
        <v>46013.0</v>
      </c>
      <c r="C309" s="22" t="s">
        <v>38</v>
      </c>
      <c r="D309" s="22" t="s">
        <v>49</v>
      </c>
      <c r="E309" s="29">
        <v>533.0</v>
      </c>
      <c r="F309" s="24">
        <v>235.0</v>
      </c>
      <c r="G309" s="24">
        <v>235.0</v>
      </c>
      <c r="H309" s="24">
        <v>125255.0</v>
      </c>
      <c r="I309" s="24">
        <v>5873.66</v>
      </c>
      <c r="J309" s="24">
        <v>0.0</v>
      </c>
      <c r="K309" s="22" t="s">
        <v>116</v>
      </c>
      <c r="L309" s="29">
        <v>19.0</v>
      </c>
      <c r="M309" s="22" t="s">
        <v>340</v>
      </c>
    </row>
    <row r="310" ht="15.75" customHeight="1">
      <c r="A310" s="22" t="s">
        <v>425</v>
      </c>
      <c r="B310" s="23">
        <v>46013.0</v>
      </c>
      <c r="C310" s="22" t="s">
        <v>48</v>
      </c>
      <c r="D310" s="22" t="s">
        <v>10</v>
      </c>
      <c r="E310" s="29">
        <v>446.0</v>
      </c>
      <c r="F310" s="24">
        <v>850.0</v>
      </c>
      <c r="G310" s="24">
        <v>850.0</v>
      </c>
      <c r="H310" s="24">
        <v>379100.0</v>
      </c>
      <c r="I310" s="24">
        <v>26139.63</v>
      </c>
      <c r="J310" s="24">
        <v>841.68</v>
      </c>
      <c r="K310" s="22" t="s">
        <v>112</v>
      </c>
      <c r="L310" s="29">
        <v>9.0</v>
      </c>
      <c r="M310" s="22" t="s">
        <v>340</v>
      </c>
    </row>
    <row r="311" ht="15.75" customHeight="1">
      <c r="A311" s="22" t="s">
        <v>426</v>
      </c>
      <c r="B311" s="23">
        <v>46013.0</v>
      </c>
      <c r="C311" s="22" t="s">
        <v>48</v>
      </c>
      <c r="D311" s="22" t="s">
        <v>10</v>
      </c>
      <c r="E311" s="29">
        <v>194.0</v>
      </c>
      <c r="F311" s="24">
        <v>850.0</v>
      </c>
      <c r="G311" s="24">
        <v>850.0</v>
      </c>
      <c r="H311" s="24">
        <v>164900.0</v>
      </c>
      <c r="I311" s="24">
        <v>9542.41</v>
      </c>
      <c r="J311" s="24">
        <v>0.0</v>
      </c>
      <c r="K311" s="22" t="s">
        <v>116</v>
      </c>
      <c r="L311" s="29">
        <v>8.0</v>
      </c>
      <c r="M311" s="22" t="s">
        <v>340</v>
      </c>
    </row>
    <row r="312" ht="15.75" customHeight="1">
      <c r="A312" s="22" t="s">
        <v>427</v>
      </c>
      <c r="B312" s="23">
        <v>46013.0</v>
      </c>
      <c r="C312" s="22" t="s">
        <v>38</v>
      </c>
      <c r="D312" s="22" t="s">
        <v>108</v>
      </c>
      <c r="E312" s="29">
        <v>588.0</v>
      </c>
      <c r="F312" s="24">
        <v>1290.0</v>
      </c>
      <c r="G312" s="24">
        <v>1290.0</v>
      </c>
      <c r="H312" s="24">
        <v>758520.0</v>
      </c>
      <c r="I312" s="24">
        <v>49371.77</v>
      </c>
      <c r="J312" s="24">
        <v>7636.09</v>
      </c>
      <c r="K312" s="22" t="s">
        <v>109</v>
      </c>
      <c r="L312" s="29">
        <v>5.0</v>
      </c>
      <c r="M312" s="22" t="s">
        <v>340</v>
      </c>
    </row>
    <row r="313" ht="15.75" customHeight="1">
      <c r="A313" s="22" t="s">
        <v>428</v>
      </c>
      <c r="B313" s="23">
        <v>46013.0</v>
      </c>
      <c r="C313" s="22" t="s">
        <v>38</v>
      </c>
      <c r="D313" s="22" t="s">
        <v>10</v>
      </c>
      <c r="E313" s="29">
        <v>385.0</v>
      </c>
      <c r="F313" s="24">
        <v>845.0</v>
      </c>
      <c r="G313" s="24">
        <v>845.0</v>
      </c>
      <c r="H313" s="24">
        <v>325325.0</v>
      </c>
      <c r="I313" s="24">
        <v>28583.35</v>
      </c>
      <c r="J313" s="24">
        <v>3801.13</v>
      </c>
      <c r="K313" s="22" t="s">
        <v>133</v>
      </c>
      <c r="L313" s="29">
        <v>7.0</v>
      </c>
      <c r="M313" s="22" t="s">
        <v>340</v>
      </c>
    </row>
    <row r="314" ht="15.75" customHeight="1">
      <c r="A314" s="22" t="s">
        <v>429</v>
      </c>
      <c r="B314" s="23">
        <v>46013.0</v>
      </c>
      <c r="C314" s="22" t="s">
        <v>48</v>
      </c>
      <c r="D314" s="22" t="s">
        <v>108</v>
      </c>
      <c r="E314" s="29">
        <v>420.0</v>
      </c>
      <c r="F314" s="24">
        <v>1300.0</v>
      </c>
      <c r="G314" s="24">
        <v>1300.0</v>
      </c>
      <c r="H314" s="24">
        <v>546000.0</v>
      </c>
      <c r="I314" s="24">
        <v>22646.54</v>
      </c>
      <c r="J314" s="24">
        <v>5066.17</v>
      </c>
      <c r="K314" s="22" t="s">
        <v>109</v>
      </c>
      <c r="L314" s="29">
        <v>8.0</v>
      </c>
      <c r="M314" s="22" t="s">
        <v>340</v>
      </c>
    </row>
    <row r="315" ht="15.75" customHeight="1">
      <c r="A315" s="22" t="s">
        <v>430</v>
      </c>
      <c r="B315" s="23">
        <v>46014.0</v>
      </c>
      <c r="C315" s="22" t="s">
        <v>38</v>
      </c>
      <c r="D315" s="22" t="s">
        <v>108</v>
      </c>
      <c r="E315" s="29">
        <v>370.0</v>
      </c>
      <c r="F315" s="24">
        <v>1290.0</v>
      </c>
      <c r="G315" s="24">
        <v>1290.0</v>
      </c>
      <c r="H315" s="24">
        <v>477300.0</v>
      </c>
      <c r="I315" s="24">
        <v>17924.8</v>
      </c>
      <c r="J315" s="24">
        <v>0.0</v>
      </c>
      <c r="K315" s="22" t="s">
        <v>116</v>
      </c>
      <c r="L315" s="29">
        <v>14.0</v>
      </c>
      <c r="M315" s="22" t="s">
        <v>340</v>
      </c>
    </row>
    <row r="316" ht="15.75" customHeight="1">
      <c r="A316" s="22" t="s">
        <v>431</v>
      </c>
      <c r="B316" s="23">
        <v>46014.0</v>
      </c>
      <c r="C316" s="22" t="s">
        <v>38</v>
      </c>
      <c r="D316" s="22" t="s">
        <v>10</v>
      </c>
      <c r="E316" s="29">
        <v>133.0</v>
      </c>
      <c r="F316" s="24">
        <v>845.0</v>
      </c>
      <c r="G316" s="24">
        <v>845.0</v>
      </c>
      <c r="H316" s="24">
        <v>112385.0</v>
      </c>
      <c r="I316" s="24">
        <v>10563.55</v>
      </c>
      <c r="J316" s="24">
        <v>0.0</v>
      </c>
      <c r="K316" s="22" t="s">
        <v>116</v>
      </c>
      <c r="L316" s="29">
        <v>5.0</v>
      </c>
      <c r="M316" s="22" t="s">
        <v>340</v>
      </c>
    </row>
    <row r="317" ht="15.75" customHeight="1">
      <c r="A317" s="22" t="s">
        <v>432</v>
      </c>
      <c r="B317" s="23">
        <v>46014.0</v>
      </c>
      <c r="C317" s="22" t="s">
        <v>56</v>
      </c>
      <c r="D317" s="22" t="s">
        <v>108</v>
      </c>
      <c r="E317" s="29">
        <v>614.0</v>
      </c>
      <c r="F317" s="24">
        <v>1250.0</v>
      </c>
      <c r="G317" s="24">
        <v>1250.0</v>
      </c>
      <c r="H317" s="24">
        <v>767500.0</v>
      </c>
      <c r="I317" s="24">
        <v>9025.22</v>
      </c>
      <c r="J317" s="24">
        <v>1626.83</v>
      </c>
      <c r="K317" s="22" t="s">
        <v>112</v>
      </c>
      <c r="L317" s="29">
        <v>8.0</v>
      </c>
      <c r="M317" s="22" t="s">
        <v>340</v>
      </c>
    </row>
    <row r="318" ht="15.75" customHeight="1">
      <c r="A318" s="22" t="s">
        <v>433</v>
      </c>
      <c r="B318" s="23">
        <v>46014.0</v>
      </c>
      <c r="C318" s="22" t="s">
        <v>48</v>
      </c>
      <c r="D318" s="22" t="s">
        <v>10</v>
      </c>
      <c r="E318" s="29">
        <v>425.0</v>
      </c>
      <c r="F318" s="24">
        <v>850.0</v>
      </c>
      <c r="G318" s="24">
        <v>850.0</v>
      </c>
      <c r="H318" s="24">
        <v>361250.0</v>
      </c>
      <c r="I318" s="24">
        <v>18517.44</v>
      </c>
      <c r="J318" s="24">
        <v>5562.12</v>
      </c>
      <c r="K318" s="22" t="s">
        <v>112</v>
      </c>
      <c r="L318" s="29">
        <v>11.0</v>
      </c>
      <c r="M318" s="22" t="s">
        <v>340</v>
      </c>
    </row>
    <row r="319" ht="15.75" customHeight="1">
      <c r="A319" s="22" t="s">
        <v>434</v>
      </c>
      <c r="B319" s="23">
        <v>46015.0</v>
      </c>
      <c r="C319" s="22" t="s">
        <v>38</v>
      </c>
      <c r="D319" s="22" t="s">
        <v>10</v>
      </c>
      <c r="E319" s="29">
        <v>567.0</v>
      </c>
      <c r="F319" s="24">
        <v>845.0</v>
      </c>
      <c r="G319" s="24">
        <v>845.0</v>
      </c>
      <c r="H319" s="24">
        <v>479115.0</v>
      </c>
      <c r="I319" s="24">
        <v>10272.74</v>
      </c>
      <c r="J319" s="24">
        <v>0.0</v>
      </c>
      <c r="K319" s="22" t="s">
        <v>116</v>
      </c>
      <c r="L319" s="29">
        <v>10.0</v>
      </c>
      <c r="M319" s="22" t="s">
        <v>340</v>
      </c>
    </row>
    <row r="320" ht="15.75" customHeight="1">
      <c r="A320" s="22" t="s">
        <v>435</v>
      </c>
      <c r="B320" s="23">
        <v>46015.0</v>
      </c>
      <c r="C320" s="22" t="s">
        <v>48</v>
      </c>
      <c r="D320" s="22" t="s">
        <v>108</v>
      </c>
      <c r="E320" s="29">
        <v>339.0</v>
      </c>
      <c r="F320" s="24">
        <v>1300.0</v>
      </c>
      <c r="G320" s="24">
        <v>1300.0</v>
      </c>
      <c r="H320" s="24">
        <v>440700.0</v>
      </c>
      <c r="I320" s="24">
        <v>17149.36</v>
      </c>
      <c r="J320" s="24">
        <v>0.0</v>
      </c>
      <c r="K320" s="22" t="s">
        <v>116</v>
      </c>
      <c r="L320" s="29">
        <v>7.0</v>
      </c>
      <c r="M320" s="22" t="s">
        <v>340</v>
      </c>
    </row>
    <row r="321" ht="15.75" customHeight="1">
      <c r="A321" s="22" t="s">
        <v>436</v>
      </c>
      <c r="B321" s="23">
        <v>46015.0</v>
      </c>
      <c r="C321" s="22" t="s">
        <v>48</v>
      </c>
      <c r="D321" s="22" t="s">
        <v>10</v>
      </c>
      <c r="E321" s="29">
        <v>310.0</v>
      </c>
      <c r="F321" s="24">
        <v>850.0</v>
      </c>
      <c r="G321" s="24">
        <v>850.0</v>
      </c>
      <c r="H321" s="24">
        <v>263500.0</v>
      </c>
      <c r="I321" s="24">
        <v>13439.32</v>
      </c>
      <c r="J321" s="24">
        <v>3729.96</v>
      </c>
      <c r="K321" s="22" t="s">
        <v>133</v>
      </c>
      <c r="L321" s="29">
        <v>5.0</v>
      </c>
      <c r="M321" s="22" t="s">
        <v>340</v>
      </c>
    </row>
    <row r="322" ht="15.75" customHeight="1">
      <c r="A322" s="22" t="s">
        <v>437</v>
      </c>
      <c r="B322" s="23">
        <v>46015.0</v>
      </c>
      <c r="C322" s="22" t="s">
        <v>48</v>
      </c>
      <c r="D322" s="22" t="s">
        <v>10</v>
      </c>
      <c r="E322" s="29">
        <v>161.0</v>
      </c>
      <c r="F322" s="24">
        <v>850.0</v>
      </c>
      <c r="G322" s="24">
        <v>850.0</v>
      </c>
      <c r="H322" s="24">
        <v>136850.0</v>
      </c>
      <c r="I322" s="24">
        <v>5173.15</v>
      </c>
      <c r="J322" s="24">
        <v>0.0</v>
      </c>
      <c r="K322" s="22" t="s">
        <v>116</v>
      </c>
      <c r="L322" s="29">
        <v>3.0</v>
      </c>
      <c r="M322" s="22" t="s">
        <v>340</v>
      </c>
    </row>
    <row r="323" ht="15.75" customHeight="1">
      <c r="A323" s="22" t="s">
        <v>438</v>
      </c>
      <c r="B323" s="23">
        <v>46016.0</v>
      </c>
      <c r="C323" s="22" t="s">
        <v>38</v>
      </c>
      <c r="D323" s="22" t="s">
        <v>108</v>
      </c>
      <c r="E323" s="29">
        <v>227.0</v>
      </c>
      <c r="F323" s="24">
        <v>1290.0</v>
      </c>
      <c r="G323" s="24">
        <v>1290.0</v>
      </c>
      <c r="H323" s="24">
        <v>292830.0</v>
      </c>
      <c r="I323" s="24">
        <v>11432.61</v>
      </c>
      <c r="J323" s="24">
        <v>3261.94</v>
      </c>
      <c r="K323" s="22" t="s">
        <v>109</v>
      </c>
      <c r="L323" s="29">
        <v>2.0</v>
      </c>
      <c r="M323" s="22" t="s">
        <v>340</v>
      </c>
    </row>
    <row r="324" ht="15.75" customHeight="1">
      <c r="A324" s="22" t="s">
        <v>439</v>
      </c>
      <c r="B324" s="23">
        <v>46016.0</v>
      </c>
      <c r="C324" s="22" t="s">
        <v>38</v>
      </c>
      <c r="D324" s="22" t="s">
        <v>108</v>
      </c>
      <c r="E324" s="29">
        <v>375.0</v>
      </c>
      <c r="F324" s="24">
        <v>1290.0</v>
      </c>
      <c r="G324" s="24">
        <v>1290.0</v>
      </c>
      <c r="H324" s="24">
        <v>483750.0</v>
      </c>
      <c r="I324" s="24">
        <v>33426.56</v>
      </c>
      <c r="J324" s="24">
        <v>0.0</v>
      </c>
      <c r="K324" s="22" t="s">
        <v>116</v>
      </c>
      <c r="L324" s="29">
        <v>8.0</v>
      </c>
      <c r="M324" s="22" t="s">
        <v>340</v>
      </c>
    </row>
    <row r="325" ht="15.75" customHeight="1">
      <c r="A325" s="22" t="s">
        <v>440</v>
      </c>
      <c r="B325" s="23">
        <v>46016.0</v>
      </c>
      <c r="C325" s="22" t="s">
        <v>48</v>
      </c>
      <c r="D325" s="22" t="s">
        <v>108</v>
      </c>
      <c r="E325" s="29">
        <v>244.0</v>
      </c>
      <c r="F325" s="24">
        <v>1300.0</v>
      </c>
      <c r="G325" s="24">
        <v>1300.0</v>
      </c>
      <c r="H325" s="24">
        <v>317200.0</v>
      </c>
      <c r="I325" s="24">
        <v>25053.97</v>
      </c>
      <c r="J325" s="24">
        <v>5463.0</v>
      </c>
      <c r="K325" s="22" t="s">
        <v>133</v>
      </c>
      <c r="L325" s="29">
        <v>2.0</v>
      </c>
      <c r="M325" s="22" t="s">
        <v>340</v>
      </c>
    </row>
    <row r="326" ht="15.75" customHeight="1">
      <c r="A326" s="22" t="s">
        <v>441</v>
      </c>
      <c r="B326" s="23">
        <v>46016.0</v>
      </c>
      <c r="C326" s="22" t="s">
        <v>56</v>
      </c>
      <c r="D326" s="22" t="s">
        <v>49</v>
      </c>
      <c r="E326" s="29">
        <v>425.0</v>
      </c>
      <c r="F326" s="24">
        <v>230.0</v>
      </c>
      <c r="G326" s="24">
        <v>230.0</v>
      </c>
      <c r="H326" s="24">
        <v>97750.0</v>
      </c>
      <c r="I326" s="24">
        <v>2819.53</v>
      </c>
      <c r="J326" s="24">
        <v>1113.36</v>
      </c>
      <c r="K326" s="22" t="s">
        <v>114</v>
      </c>
      <c r="L326" s="29">
        <v>12.0</v>
      </c>
      <c r="M326" s="22" t="s">
        <v>340</v>
      </c>
    </row>
    <row r="327" ht="15.75" customHeight="1">
      <c r="A327" s="22" t="s">
        <v>442</v>
      </c>
      <c r="B327" s="23">
        <v>46016.0</v>
      </c>
      <c r="C327" s="22" t="s">
        <v>48</v>
      </c>
      <c r="D327" s="22" t="s">
        <v>108</v>
      </c>
      <c r="E327" s="29">
        <v>533.0</v>
      </c>
      <c r="F327" s="24">
        <v>1300.0</v>
      </c>
      <c r="G327" s="24">
        <v>1300.0</v>
      </c>
      <c r="H327" s="24">
        <v>692900.0</v>
      </c>
      <c r="I327" s="24">
        <v>53273.86</v>
      </c>
      <c r="J327" s="24">
        <v>1573.77</v>
      </c>
      <c r="K327" s="22" t="s">
        <v>133</v>
      </c>
      <c r="L327" s="29">
        <v>5.0</v>
      </c>
      <c r="M327" s="22" t="s">
        <v>340</v>
      </c>
    </row>
    <row r="328" ht="15.75" customHeight="1">
      <c r="A328" s="22" t="s">
        <v>443</v>
      </c>
      <c r="B328" s="23">
        <v>46017.0</v>
      </c>
      <c r="C328" s="22" t="s">
        <v>38</v>
      </c>
      <c r="D328" s="22" t="s">
        <v>108</v>
      </c>
      <c r="E328" s="29">
        <v>507.0</v>
      </c>
      <c r="F328" s="24">
        <v>1290.0</v>
      </c>
      <c r="G328" s="24">
        <v>1290.0</v>
      </c>
      <c r="H328" s="24">
        <v>654030.0</v>
      </c>
      <c r="I328" s="24">
        <v>31909.02</v>
      </c>
      <c r="J328" s="24">
        <v>10415.98</v>
      </c>
      <c r="K328" s="22" t="s">
        <v>112</v>
      </c>
      <c r="L328" s="29">
        <v>8.0</v>
      </c>
      <c r="M328" s="22" t="s">
        <v>340</v>
      </c>
    </row>
    <row r="329" ht="15.75" customHeight="1">
      <c r="A329" s="22" t="s">
        <v>444</v>
      </c>
      <c r="B329" s="23">
        <v>46017.0</v>
      </c>
      <c r="C329" s="22" t="s">
        <v>48</v>
      </c>
      <c r="D329" s="22" t="s">
        <v>108</v>
      </c>
      <c r="E329" s="29">
        <v>102.0</v>
      </c>
      <c r="F329" s="24">
        <v>1300.0</v>
      </c>
      <c r="G329" s="24">
        <v>1300.0</v>
      </c>
      <c r="H329" s="24">
        <v>132600.0</v>
      </c>
      <c r="I329" s="24">
        <v>2903.28</v>
      </c>
      <c r="J329" s="24">
        <v>255.19</v>
      </c>
      <c r="K329" s="22" t="s">
        <v>112</v>
      </c>
      <c r="L329" s="29">
        <v>1.0</v>
      </c>
      <c r="M329" s="22" t="s">
        <v>340</v>
      </c>
    </row>
    <row r="330" ht="15.75" customHeight="1">
      <c r="A330" s="22" t="s">
        <v>445</v>
      </c>
      <c r="B330" s="23">
        <v>46017.0</v>
      </c>
      <c r="C330" s="22" t="s">
        <v>48</v>
      </c>
      <c r="D330" s="22" t="s">
        <v>108</v>
      </c>
      <c r="E330" s="29">
        <v>258.0</v>
      </c>
      <c r="F330" s="24">
        <v>1300.0</v>
      </c>
      <c r="G330" s="24">
        <v>1300.0</v>
      </c>
      <c r="H330" s="24">
        <v>335400.0</v>
      </c>
      <c r="I330" s="24">
        <v>26229.42</v>
      </c>
      <c r="J330" s="24">
        <v>2286.95</v>
      </c>
      <c r="K330" s="22" t="s">
        <v>133</v>
      </c>
      <c r="L330" s="29">
        <v>3.0</v>
      </c>
      <c r="M330" s="22" t="s">
        <v>340</v>
      </c>
    </row>
    <row r="331" ht="15.75" customHeight="1">
      <c r="A331" s="22" t="s">
        <v>446</v>
      </c>
      <c r="B331" s="23">
        <v>46017.0</v>
      </c>
      <c r="C331" s="22" t="s">
        <v>48</v>
      </c>
      <c r="D331" s="22" t="s">
        <v>108</v>
      </c>
      <c r="E331" s="29">
        <v>183.0</v>
      </c>
      <c r="F331" s="24">
        <v>1300.0</v>
      </c>
      <c r="G331" s="24">
        <v>1300.0</v>
      </c>
      <c r="H331" s="24">
        <v>237900.0</v>
      </c>
      <c r="I331" s="24">
        <v>13481.5</v>
      </c>
      <c r="J331" s="24">
        <v>2512.93</v>
      </c>
      <c r="K331" s="22" t="s">
        <v>114</v>
      </c>
      <c r="L331" s="29">
        <v>3.0</v>
      </c>
      <c r="M331" s="22" t="s">
        <v>340</v>
      </c>
    </row>
    <row r="332" ht="15.75" customHeight="1">
      <c r="A332" s="22" t="s">
        <v>447</v>
      </c>
      <c r="B332" s="23">
        <v>46017.0</v>
      </c>
      <c r="C332" s="22" t="s">
        <v>56</v>
      </c>
      <c r="D332" s="22" t="s">
        <v>10</v>
      </c>
      <c r="E332" s="29">
        <v>677.0</v>
      </c>
      <c r="F332" s="24">
        <v>820.0</v>
      </c>
      <c r="G332" s="24">
        <v>820.0</v>
      </c>
      <c r="H332" s="24">
        <v>555140.0</v>
      </c>
      <c r="I332" s="24">
        <v>10570.76</v>
      </c>
      <c r="J332" s="24">
        <v>0.0</v>
      </c>
      <c r="K332" s="22" t="s">
        <v>116</v>
      </c>
      <c r="L332" s="29">
        <v>8.0</v>
      </c>
      <c r="M332" s="22" t="s">
        <v>340</v>
      </c>
    </row>
    <row r="333" ht="15.75" customHeight="1">
      <c r="A333" s="22" t="s">
        <v>448</v>
      </c>
      <c r="B333" s="23">
        <v>46017.0</v>
      </c>
      <c r="C333" s="22" t="s">
        <v>38</v>
      </c>
      <c r="D333" s="22" t="s">
        <v>10</v>
      </c>
      <c r="E333" s="29">
        <v>182.0</v>
      </c>
      <c r="F333" s="24">
        <v>845.0</v>
      </c>
      <c r="G333" s="24">
        <v>845.0</v>
      </c>
      <c r="H333" s="24">
        <v>153790.0</v>
      </c>
      <c r="I333" s="24">
        <v>13912.68</v>
      </c>
      <c r="J333" s="24">
        <v>1033.99</v>
      </c>
      <c r="K333" s="22" t="s">
        <v>109</v>
      </c>
      <c r="L333" s="29">
        <v>5.0</v>
      </c>
      <c r="M333" s="22" t="s">
        <v>340</v>
      </c>
    </row>
    <row r="334" ht="15.75" customHeight="1">
      <c r="A334" s="22" t="s">
        <v>449</v>
      </c>
      <c r="B334" s="23">
        <v>46017.0</v>
      </c>
      <c r="C334" s="22" t="s">
        <v>48</v>
      </c>
      <c r="D334" s="22" t="s">
        <v>49</v>
      </c>
      <c r="E334" s="29">
        <v>131.0</v>
      </c>
      <c r="F334" s="24">
        <v>240.0</v>
      </c>
      <c r="G334" s="24">
        <v>240.0</v>
      </c>
      <c r="H334" s="24">
        <v>31440.0</v>
      </c>
      <c r="I334" s="24">
        <v>504.41</v>
      </c>
      <c r="J334" s="24">
        <v>0.0</v>
      </c>
      <c r="K334" s="22" t="s">
        <v>116</v>
      </c>
      <c r="L334" s="29">
        <v>9.0</v>
      </c>
      <c r="M334" s="22" t="s">
        <v>340</v>
      </c>
    </row>
    <row r="335" ht="15.75" customHeight="1">
      <c r="A335" s="22" t="s">
        <v>450</v>
      </c>
      <c r="B335" s="23">
        <v>46017.0</v>
      </c>
      <c r="C335" s="22" t="s">
        <v>38</v>
      </c>
      <c r="D335" s="22" t="s">
        <v>49</v>
      </c>
      <c r="E335" s="29">
        <v>269.0</v>
      </c>
      <c r="F335" s="24">
        <v>235.0</v>
      </c>
      <c r="G335" s="24">
        <v>235.0</v>
      </c>
      <c r="H335" s="24">
        <v>63215.0</v>
      </c>
      <c r="I335" s="24">
        <v>6124.12</v>
      </c>
      <c r="J335" s="24">
        <v>911.72</v>
      </c>
      <c r="K335" s="22" t="s">
        <v>114</v>
      </c>
      <c r="L335" s="29">
        <v>2.0</v>
      </c>
      <c r="M335" s="22" t="s">
        <v>340</v>
      </c>
    </row>
    <row r="336" ht="15.75" customHeight="1">
      <c r="A336" s="22" t="s">
        <v>451</v>
      </c>
      <c r="B336" s="23">
        <v>46017.0</v>
      </c>
      <c r="C336" s="22" t="s">
        <v>48</v>
      </c>
      <c r="D336" s="22" t="s">
        <v>49</v>
      </c>
      <c r="E336" s="29">
        <v>235.0</v>
      </c>
      <c r="F336" s="24">
        <v>240.0</v>
      </c>
      <c r="G336" s="24">
        <v>240.0</v>
      </c>
      <c r="H336" s="24">
        <v>56400.0</v>
      </c>
      <c r="I336" s="24">
        <v>1650.0</v>
      </c>
      <c r="J336" s="24">
        <v>0.0</v>
      </c>
      <c r="K336" s="22" t="s">
        <v>116</v>
      </c>
      <c r="L336" s="29">
        <v>12.0</v>
      </c>
      <c r="M336" s="22" t="s">
        <v>340</v>
      </c>
    </row>
    <row r="337" ht="15.75" customHeight="1">
      <c r="A337" s="22" t="s">
        <v>452</v>
      </c>
      <c r="B337" s="23">
        <v>46018.0</v>
      </c>
      <c r="C337" s="22" t="s">
        <v>38</v>
      </c>
      <c r="D337" s="22" t="s">
        <v>108</v>
      </c>
      <c r="E337" s="29">
        <v>451.0</v>
      </c>
      <c r="F337" s="24">
        <v>1290.0</v>
      </c>
      <c r="G337" s="24">
        <v>1290.0</v>
      </c>
      <c r="H337" s="24">
        <v>581790.0</v>
      </c>
      <c r="I337" s="24">
        <v>29320.43</v>
      </c>
      <c r="J337" s="24">
        <v>8758.36</v>
      </c>
      <c r="K337" s="22" t="s">
        <v>133</v>
      </c>
      <c r="L337" s="29">
        <v>11.0</v>
      </c>
      <c r="M337" s="22" t="s">
        <v>340</v>
      </c>
    </row>
    <row r="338" ht="15.75" customHeight="1">
      <c r="A338" s="22" t="s">
        <v>453</v>
      </c>
      <c r="B338" s="23">
        <v>46018.0</v>
      </c>
      <c r="C338" s="22" t="s">
        <v>38</v>
      </c>
      <c r="D338" s="22" t="s">
        <v>108</v>
      </c>
      <c r="E338" s="29">
        <v>597.0</v>
      </c>
      <c r="F338" s="24">
        <v>1290.0</v>
      </c>
      <c r="G338" s="24">
        <v>1290.0</v>
      </c>
      <c r="H338" s="24">
        <v>770130.0</v>
      </c>
      <c r="I338" s="24">
        <v>39248.92</v>
      </c>
      <c r="J338" s="24">
        <v>10585.74</v>
      </c>
      <c r="K338" s="22" t="s">
        <v>112</v>
      </c>
      <c r="L338" s="29">
        <v>10.0</v>
      </c>
      <c r="M338" s="22" t="s">
        <v>340</v>
      </c>
    </row>
    <row r="339" ht="15.75" customHeight="1">
      <c r="A339" s="22" t="s">
        <v>454</v>
      </c>
      <c r="B339" s="23">
        <v>46018.0</v>
      </c>
      <c r="C339" s="22" t="s">
        <v>38</v>
      </c>
      <c r="D339" s="22" t="s">
        <v>10</v>
      </c>
      <c r="E339" s="29">
        <v>310.0</v>
      </c>
      <c r="F339" s="24">
        <v>845.0</v>
      </c>
      <c r="G339" s="24">
        <v>845.0</v>
      </c>
      <c r="H339" s="24">
        <v>261950.0</v>
      </c>
      <c r="I339" s="24">
        <v>14027.78</v>
      </c>
      <c r="J339" s="24">
        <v>0.0</v>
      </c>
      <c r="K339" s="22" t="s">
        <v>116</v>
      </c>
      <c r="L339" s="29">
        <v>8.0</v>
      </c>
      <c r="M339" s="22" t="s">
        <v>340</v>
      </c>
    </row>
    <row r="340" ht="15.75" customHeight="1">
      <c r="A340" s="22" t="s">
        <v>455</v>
      </c>
      <c r="B340" s="23">
        <v>46019.0</v>
      </c>
      <c r="C340" s="22" t="s">
        <v>38</v>
      </c>
      <c r="D340" s="22" t="s">
        <v>49</v>
      </c>
      <c r="E340" s="29">
        <v>340.0</v>
      </c>
      <c r="F340" s="24">
        <v>235.0</v>
      </c>
      <c r="G340" s="24">
        <v>235.0</v>
      </c>
      <c r="H340" s="24">
        <v>79900.0</v>
      </c>
      <c r="I340" s="24">
        <v>3417.44</v>
      </c>
      <c r="J340" s="24">
        <v>80.77</v>
      </c>
      <c r="K340" s="22" t="s">
        <v>114</v>
      </c>
      <c r="L340" s="29">
        <v>12.0</v>
      </c>
      <c r="M340" s="22" t="s">
        <v>340</v>
      </c>
    </row>
    <row r="341" ht="15.75" customHeight="1">
      <c r="A341" s="22" t="s">
        <v>456</v>
      </c>
      <c r="B341" s="23">
        <v>46019.0</v>
      </c>
      <c r="C341" s="22" t="s">
        <v>38</v>
      </c>
      <c r="D341" s="22" t="s">
        <v>108</v>
      </c>
      <c r="E341" s="29">
        <v>398.0</v>
      </c>
      <c r="F341" s="24">
        <v>1290.0</v>
      </c>
      <c r="G341" s="24">
        <v>1290.0</v>
      </c>
      <c r="H341" s="24">
        <v>513420.0</v>
      </c>
      <c r="I341" s="24">
        <v>18120.68</v>
      </c>
      <c r="J341" s="24">
        <v>6686.55</v>
      </c>
      <c r="K341" s="22" t="s">
        <v>114</v>
      </c>
      <c r="L341" s="29">
        <v>12.0</v>
      </c>
      <c r="M341" s="22" t="s">
        <v>340</v>
      </c>
    </row>
    <row r="342" ht="15.75" customHeight="1">
      <c r="A342" s="22" t="s">
        <v>457</v>
      </c>
      <c r="B342" s="23">
        <v>46019.0</v>
      </c>
      <c r="C342" s="22" t="s">
        <v>56</v>
      </c>
      <c r="D342" s="22" t="s">
        <v>49</v>
      </c>
      <c r="E342" s="29">
        <v>339.0</v>
      </c>
      <c r="F342" s="24">
        <v>230.0</v>
      </c>
      <c r="G342" s="24">
        <v>230.0</v>
      </c>
      <c r="H342" s="24">
        <v>77970.0</v>
      </c>
      <c r="I342" s="24">
        <v>1148.86</v>
      </c>
      <c r="J342" s="24">
        <v>734.41</v>
      </c>
      <c r="K342" s="22" t="s">
        <v>114</v>
      </c>
      <c r="L342" s="29">
        <v>16.0</v>
      </c>
      <c r="M342" s="22" t="s">
        <v>340</v>
      </c>
    </row>
    <row r="343" ht="15.75" customHeight="1">
      <c r="A343" s="22" t="s">
        <v>458</v>
      </c>
      <c r="B343" s="23">
        <v>46019.0</v>
      </c>
      <c r="C343" s="22" t="s">
        <v>48</v>
      </c>
      <c r="D343" s="22" t="s">
        <v>10</v>
      </c>
      <c r="E343" s="29">
        <v>330.0</v>
      </c>
      <c r="F343" s="24">
        <v>850.0</v>
      </c>
      <c r="G343" s="24">
        <v>850.0</v>
      </c>
      <c r="H343" s="24">
        <v>280500.0</v>
      </c>
      <c r="I343" s="24">
        <v>5828.18</v>
      </c>
      <c r="J343" s="24">
        <v>0.0</v>
      </c>
      <c r="K343" s="22" t="s">
        <v>116</v>
      </c>
      <c r="L343" s="29">
        <v>9.0</v>
      </c>
      <c r="M343" s="22" t="s">
        <v>340</v>
      </c>
    </row>
    <row r="344" ht="15.75" customHeight="1">
      <c r="A344" s="22" t="s">
        <v>459</v>
      </c>
      <c r="B344" s="23">
        <v>46020.0</v>
      </c>
      <c r="C344" s="22" t="s">
        <v>38</v>
      </c>
      <c r="D344" s="22" t="s">
        <v>10</v>
      </c>
      <c r="E344" s="29">
        <v>310.0</v>
      </c>
      <c r="F344" s="24">
        <v>845.0</v>
      </c>
      <c r="G344" s="24">
        <v>845.0</v>
      </c>
      <c r="H344" s="24">
        <v>261950.0</v>
      </c>
      <c r="I344" s="24">
        <v>7607.25</v>
      </c>
      <c r="J344" s="24">
        <v>3803.64</v>
      </c>
      <c r="K344" s="22" t="s">
        <v>114</v>
      </c>
      <c r="L344" s="29">
        <v>4.0</v>
      </c>
      <c r="M344" s="22" t="s">
        <v>340</v>
      </c>
    </row>
    <row r="345" ht="15.75" customHeight="1">
      <c r="A345" s="22" t="s">
        <v>460</v>
      </c>
      <c r="B345" s="23">
        <v>46020.0</v>
      </c>
      <c r="C345" s="22" t="s">
        <v>38</v>
      </c>
      <c r="D345" s="22" t="s">
        <v>10</v>
      </c>
      <c r="E345" s="29">
        <v>180.0</v>
      </c>
      <c r="F345" s="24">
        <v>845.0</v>
      </c>
      <c r="G345" s="24">
        <v>845.0</v>
      </c>
      <c r="H345" s="24">
        <v>152100.0</v>
      </c>
      <c r="I345" s="24">
        <v>7593.65</v>
      </c>
      <c r="J345" s="24">
        <v>734.52</v>
      </c>
      <c r="K345" s="22" t="s">
        <v>109</v>
      </c>
      <c r="L345" s="29">
        <v>3.0</v>
      </c>
      <c r="M345" s="22" t="s">
        <v>340</v>
      </c>
    </row>
    <row r="346" ht="15.75" customHeight="1">
      <c r="A346" s="22" t="s">
        <v>461</v>
      </c>
      <c r="B346" s="23">
        <v>46020.0</v>
      </c>
      <c r="C346" s="22" t="s">
        <v>38</v>
      </c>
      <c r="D346" s="22" t="s">
        <v>49</v>
      </c>
      <c r="E346" s="29">
        <v>720.0</v>
      </c>
      <c r="F346" s="24">
        <v>235.0</v>
      </c>
      <c r="G346" s="24">
        <v>235.0</v>
      </c>
      <c r="H346" s="24">
        <v>169200.0</v>
      </c>
      <c r="I346" s="24">
        <v>11421.43</v>
      </c>
      <c r="J346" s="24">
        <v>1158.79</v>
      </c>
      <c r="K346" s="22" t="s">
        <v>133</v>
      </c>
      <c r="L346" s="29">
        <v>22.0</v>
      </c>
      <c r="M346" s="22" t="s">
        <v>340</v>
      </c>
    </row>
    <row r="347" ht="15.75" customHeight="1">
      <c r="A347" s="22" t="s">
        <v>462</v>
      </c>
      <c r="B347" s="23">
        <v>46020.0</v>
      </c>
      <c r="C347" s="22" t="s">
        <v>48</v>
      </c>
      <c r="D347" s="22" t="s">
        <v>49</v>
      </c>
      <c r="E347" s="29">
        <v>145.0</v>
      </c>
      <c r="F347" s="24">
        <v>240.0</v>
      </c>
      <c r="G347" s="24">
        <v>240.0</v>
      </c>
      <c r="H347" s="24">
        <v>34800.0</v>
      </c>
      <c r="I347" s="24">
        <v>1510.26</v>
      </c>
      <c r="J347" s="24">
        <v>455.47</v>
      </c>
      <c r="K347" s="22" t="s">
        <v>114</v>
      </c>
      <c r="L347" s="29">
        <v>7.0</v>
      </c>
      <c r="M347" s="22" t="s">
        <v>340</v>
      </c>
    </row>
    <row r="348" ht="15.75" customHeight="1">
      <c r="A348" s="22" t="s">
        <v>463</v>
      </c>
      <c r="B348" s="23">
        <v>46020.0</v>
      </c>
      <c r="C348" s="22" t="s">
        <v>48</v>
      </c>
      <c r="D348" s="22" t="s">
        <v>49</v>
      </c>
      <c r="E348" s="29">
        <v>698.0</v>
      </c>
      <c r="F348" s="24">
        <v>240.0</v>
      </c>
      <c r="G348" s="24">
        <v>240.0</v>
      </c>
      <c r="H348" s="24">
        <v>167520.0</v>
      </c>
      <c r="I348" s="24">
        <v>6239.78</v>
      </c>
      <c r="J348" s="24">
        <v>1041.16</v>
      </c>
      <c r="K348" s="22" t="s">
        <v>114</v>
      </c>
      <c r="L348" s="29">
        <v>24.0</v>
      </c>
      <c r="M348" s="22" t="s">
        <v>340</v>
      </c>
    </row>
    <row r="349" ht="15.75" customHeight="1">
      <c r="A349" s="22" t="s">
        <v>464</v>
      </c>
      <c r="B349" s="23">
        <v>46021.0</v>
      </c>
      <c r="C349" s="22" t="s">
        <v>48</v>
      </c>
      <c r="D349" s="22" t="s">
        <v>10</v>
      </c>
      <c r="E349" s="29">
        <v>179.0</v>
      </c>
      <c r="F349" s="24">
        <v>850.0</v>
      </c>
      <c r="G349" s="24">
        <v>850.0</v>
      </c>
      <c r="H349" s="24">
        <v>152150.0</v>
      </c>
      <c r="I349" s="24">
        <v>5025.32</v>
      </c>
      <c r="J349" s="24">
        <v>816.06</v>
      </c>
      <c r="K349" s="22" t="s">
        <v>114</v>
      </c>
      <c r="L349" s="29">
        <v>1.0</v>
      </c>
      <c r="M349" s="22" t="s">
        <v>340</v>
      </c>
    </row>
    <row r="350" ht="15.75" customHeight="1">
      <c r="A350" s="22" t="s">
        <v>465</v>
      </c>
      <c r="B350" s="23">
        <v>46022.0</v>
      </c>
      <c r="C350" s="22" t="s">
        <v>38</v>
      </c>
      <c r="D350" s="22" t="s">
        <v>49</v>
      </c>
      <c r="E350" s="29">
        <v>274.0</v>
      </c>
      <c r="F350" s="24">
        <v>235.0</v>
      </c>
      <c r="G350" s="24">
        <v>235.0</v>
      </c>
      <c r="H350" s="24">
        <v>64390.0</v>
      </c>
      <c r="I350" s="24">
        <v>4528.72</v>
      </c>
      <c r="J350" s="24">
        <v>491.78</v>
      </c>
      <c r="K350" s="22" t="s">
        <v>114</v>
      </c>
      <c r="L350" s="29">
        <v>8.0</v>
      </c>
      <c r="M350" s="22" t="s">
        <v>340</v>
      </c>
    </row>
    <row r="351" ht="15.75" customHeight="1">
      <c r="A351" s="22" t="s">
        <v>466</v>
      </c>
      <c r="B351" s="23">
        <v>46022.0</v>
      </c>
      <c r="C351" s="22" t="s">
        <v>38</v>
      </c>
      <c r="D351" s="22" t="s">
        <v>10</v>
      </c>
      <c r="E351" s="29">
        <v>441.0</v>
      </c>
      <c r="F351" s="24">
        <v>845.0</v>
      </c>
      <c r="G351" s="24">
        <v>845.0</v>
      </c>
      <c r="H351" s="24">
        <v>372645.0</v>
      </c>
      <c r="I351" s="24">
        <v>23972.06</v>
      </c>
      <c r="J351" s="24">
        <v>0.0</v>
      </c>
      <c r="K351" s="22" t="s">
        <v>116</v>
      </c>
      <c r="L351" s="29">
        <v>4.0</v>
      </c>
      <c r="M351" s="22" t="s">
        <v>340</v>
      </c>
    </row>
    <row r="352" ht="15.75" customHeight="1">
      <c r="A352" s="22" t="s">
        <v>467</v>
      </c>
      <c r="B352" s="23">
        <v>46022.0</v>
      </c>
      <c r="C352" s="22" t="s">
        <v>56</v>
      </c>
      <c r="D352" s="22" t="s">
        <v>49</v>
      </c>
      <c r="E352" s="29">
        <v>294.0</v>
      </c>
      <c r="F352" s="24">
        <v>230.0</v>
      </c>
      <c r="G352" s="24">
        <v>230.0</v>
      </c>
      <c r="H352" s="24">
        <v>67620.0</v>
      </c>
      <c r="I352" s="24">
        <v>1491.27</v>
      </c>
      <c r="J352" s="24">
        <v>0.0</v>
      </c>
      <c r="K352" s="22" t="s">
        <v>116</v>
      </c>
      <c r="L352" s="29">
        <v>7.0</v>
      </c>
      <c r="M352" s="22" t="s">
        <v>340</v>
      </c>
    </row>
    <row r="353" ht="15.75" customHeight="1">
      <c r="A353" s="22" t="s">
        <v>468</v>
      </c>
      <c r="B353" s="23">
        <v>46022.0</v>
      </c>
      <c r="C353" s="22" t="s">
        <v>38</v>
      </c>
      <c r="D353" s="22" t="s">
        <v>10</v>
      </c>
      <c r="E353" s="29">
        <v>205.0</v>
      </c>
      <c r="F353" s="24">
        <v>845.0</v>
      </c>
      <c r="G353" s="24">
        <v>845.0</v>
      </c>
      <c r="H353" s="24">
        <v>173225.0</v>
      </c>
      <c r="I353" s="24">
        <v>15096.2</v>
      </c>
      <c r="J353" s="24">
        <v>0.0</v>
      </c>
      <c r="K353" s="22" t="s">
        <v>116</v>
      </c>
      <c r="L353" s="29">
        <v>2.0</v>
      </c>
      <c r="M353" s="22" t="s">
        <v>340</v>
      </c>
    </row>
    <row r="354" ht="15.75" customHeight="1">
      <c r="A354" s="22" t="s">
        <v>469</v>
      </c>
      <c r="B354" s="23">
        <v>46022.0</v>
      </c>
      <c r="C354" s="22" t="s">
        <v>48</v>
      </c>
      <c r="D354" s="22" t="s">
        <v>108</v>
      </c>
      <c r="E354" s="29">
        <v>143.0</v>
      </c>
      <c r="F354" s="24">
        <v>1300.0</v>
      </c>
      <c r="G354" s="24">
        <v>1300.0</v>
      </c>
      <c r="H354" s="24">
        <v>185900.0</v>
      </c>
      <c r="I354" s="24">
        <v>10256.35</v>
      </c>
      <c r="J354" s="24">
        <v>2380.83</v>
      </c>
      <c r="K354" s="22" t="s">
        <v>133</v>
      </c>
      <c r="L354" s="29">
        <v>1.0</v>
      </c>
      <c r="M354" s="22" t="s">
        <v>340</v>
      </c>
    </row>
    <row r="355" ht="15.75" customHeight="1">
      <c r="A355" s="22" t="s">
        <v>470</v>
      </c>
      <c r="B355" s="23">
        <v>46022.0</v>
      </c>
      <c r="C355" s="22" t="s">
        <v>48</v>
      </c>
      <c r="D355" s="22" t="s">
        <v>49</v>
      </c>
      <c r="E355" s="29">
        <v>558.0</v>
      </c>
      <c r="F355" s="24">
        <v>240.0</v>
      </c>
      <c r="G355" s="24">
        <v>240.0</v>
      </c>
      <c r="H355" s="24">
        <v>133920.0</v>
      </c>
      <c r="I355" s="24">
        <v>4799.73</v>
      </c>
      <c r="J355" s="24">
        <v>1655.73</v>
      </c>
      <c r="K355" s="22" t="s">
        <v>133</v>
      </c>
      <c r="L355" s="29">
        <v>17.0</v>
      </c>
      <c r="M355" s="22" t="s">
        <v>340</v>
      </c>
    </row>
    <row r="356" ht="15.75" customHeight="1">
      <c r="A356" s="22" t="s">
        <v>471</v>
      </c>
      <c r="B356" s="23">
        <v>46022.0</v>
      </c>
      <c r="C356" s="22" t="s">
        <v>56</v>
      </c>
      <c r="D356" s="22" t="s">
        <v>108</v>
      </c>
      <c r="E356" s="29">
        <v>271.0</v>
      </c>
      <c r="F356" s="24">
        <v>1250.0</v>
      </c>
      <c r="G356" s="24">
        <v>1250.0</v>
      </c>
      <c r="H356" s="24">
        <v>338750.0</v>
      </c>
      <c r="I356" s="24">
        <v>4378.58</v>
      </c>
      <c r="J356" s="24">
        <v>2570.25</v>
      </c>
      <c r="K356" s="22" t="s">
        <v>112</v>
      </c>
      <c r="L356" s="29">
        <v>6.0</v>
      </c>
      <c r="M356" s="22" t="s">
        <v>340</v>
      </c>
    </row>
    <row r="357" ht="15.75" customHeight="1">
      <c r="A357" s="22" t="s">
        <v>472</v>
      </c>
      <c r="B357" s="23">
        <v>46022.0</v>
      </c>
      <c r="C357" s="22" t="s">
        <v>48</v>
      </c>
      <c r="D357" s="22" t="s">
        <v>49</v>
      </c>
      <c r="E357" s="29">
        <v>114.0</v>
      </c>
      <c r="F357" s="24">
        <v>240.0</v>
      </c>
      <c r="G357" s="24">
        <v>240.0</v>
      </c>
      <c r="H357" s="24">
        <v>27360.0</v>
      </c>
      <c r="I357" s="24">
        <v>1081.07</v>
      </c>
      <c r="J357" s="24">
        <v>0.0</v>
      </c>
      <c r="K357" s="22" t="s">
        <v>116</v>
      </c>
      <c r="L357" s="29">
        <v>0.0</v>
      </c>
      <c r="M357" s="22" t="s">
        <v>340</v>
      </c>
    </row>
    <row r="358" ht="15.75" customHeight="1">
      <c r="A358" s="22" t="s">
        <v>473</v>
      </c>
      <c r="B358" s="23">
        <v>46023.0</v>
      </c>
      <c r="C358" s="22" t="s">
        <v>56</v>
      </c>
      <c r="D358" s="22" t="s">
        <v>10</v>
      </c>
      <c r="E358" s="29">
        <v>376.0</v>
      </c>
      <c r="F358" s="24">
        <v>820.0</v>
      </c>
      <c r="G358" s="24">
        <v>820.0</v>
      </c>
      <c r="H358" s="24">
        <v>308320.0</v>
      </c>
      <c r="I358" s="24">
        <v>9492.14</v>
      </c>
      <c r="J358" s="24">
        <v>0.0</v>
      </c>
      <c r="K358" s="22" t="s">
        <v>116</v>
      </c>
      <c r="L358" s="29">
        <v>8.0</v>
      </c>
      <c r="M358" s="22" t="s">
        <v>474</v>
      </c>
    </row>
    <row r="359" ht="15.75" customHeight="1">
      <c r="A359" s="22" t="s">
        <v>475</v>
      </c>
      <c r="B359" s="23">
        <v>46025.0</v>
      </c>
      <c r="C359" s="22" t="s">
        <v>48</v>
      </c>
      <c r="D359" s="22" t="s">
        <v>49</v>
      </c>
      <c r="E359" s="29">
        <v>376.0</v>
      </c>
      <c r="F359" s="24">
        <v>240.0</v>
      </c>
      <c r="G359" s="24">
        <v>240.0</v>
      </c>
      <c r="H359" s="24">
        <v>90240.0</v>
      </c>
      <c r="I359" s="24">
        <v>2278.42</v>
      </c>
      <c r="J359" s="24">
        <v>0.0</v>
      </c>
      <c r="K359" s="22" t="s">
        <v>116</v>
      </c>
      <c r="L359" s="29">
        <v>8.0</v>
      </c>
      <c r="M359" s="22" t="s">
        <v>474</v>
      </c>
    </row>
    <row r="360" ht="15.75" customHeight="1">
      <c r="A360" s="22" t="s">
        <v>476</v>
      </c>
      <c r="B360" s="23">
        <v>46025.0</v>
      </c>
      <c r="C360" s="22" t="s">
        <v>48</v>
      </c>
      <c r="D360" s="22" t="s">
        <v>10</v>
      </c>
      <c r="E360" s="29">
        <v>304.0</v>
      </c>
      <c r="F360" s="24">
        <v>850.0</v>
      </c>
      <c r="G360" s="24">
        <v>850.0</v>
      </c>
      <c r="H360" s="24">
        <v>258400.0</v>
      </c>
      <c r="I360" s="24">
        <v>8876.12</v>
      </c>
      <c r="J360" s="24">
        <v>510.07</v>
      </c>
      <c r="K360" s="22" t="s">
        <v>133</v>
      </c>
      <c r="L360" s="29">
        <v>4.0</v>
      </c>
      <c r="M360" s="22" t="s">
        <v>474</v>
      </c>
    </row>
    <row r="361" ht="15.75" customHeight="1">
      <c r="A361" s="22" t="s">
        <v>477</v>
      </c>
      <c r="B361" s="23">
        <v>46025.0</v>
      </c>
      <c r="C361" s="22" t="s">
        <v>56</v>
      </c>
      <c r="D361" s="22" t="s">
        <v>49</v>
      </c>
      <c r="E361" s="29">
        <v>341.0</v>
      </c>
      <c r="F361" s="24">
        <v>230.0</v>
      </c>
      <c r="G361" s="24">
        <v>230.0</v>
      </c>
      <c r="H361" s="24">
        <v>78430.0</v>
      </c>
      <c r="I361" s="24">
        <v>1302.96</v>
      </c>
      <c r="J361" s="24">
        <v>260.66</v>
      </c>
      <c r="K361" s="22" t="s">
        <v>133</v>
      </c>
      <c r="L361" s="29">
        <v>11.0</v>
      </c>
      <c r="M361" s="22" t="s">
        <v>474</v>
      </c>
    </row>
    <row r="362" ht="15.75" customHeight="1">
      <c r="A362" s="22" t="s">
        <v>478</v>
      </c>
      <c r="B362" s="23">
        <v>46026.0</v>
      </c>
      <c r="C362" s="22" t="s">
        <v>38</v>
      </c>
      <c r="D362" s="22" t="s">
        <v>10</v>
      </c>
      <c r="E362" s="29">
        <v>132.0</v>
      </c>
      <c r="F362" s="24">
        <v>845.0</v>
      </c>
      <c r="G362" s="24">
        <v>845.0</v>
      </c>
      <c r="H362" s="24">
        <v>111540.0</v>
      </c>
      <c r="I362" s="24">
        <v>4048.23</v>
      </c>
      <c r="J362" s="24">
        <v>0.0</v>
      </c>
      <c r="K362" s="22" t="s">
        <v>116</v>
      </c>
      <c r="L362" s="29">
        <v>4.0</v>
      </c>
      <c r="M362" s="22" t="s">
        <v>474</v>
      </c>
    </row>
    <row r="363" ht="15.75" customHeight="1">
      <c r="A363" s="22" t="s">
        <v>479</v>
      </c>
      <c r="B363" s="23">
        <v>46031.0</v>
      </c>
      <c r="C363" s="22" t="s">
        <v>56</v>
      </c>
      <c r="D363" s="22" t="s">
        <v>10</v>
      </c>
      <c r="E363" s="29">
        <v>720.0</v>
      </c>
      <c r="F363" s="24">
        <v>820.0</v>
      </c>
      <c r="G363" s="24">
        <v>820.0</v>
      </c>
      <c r="H363" s="24">
        <v>590400.0</v>
      </c>
      <c r="I363" s="24">
        <v>10420.24</v>
      </c>
      <c r="J363" s="24">
        <v>0.0</v>
      </c>
      <c r="K363" s="22" t="s">
        <v>116</v>
      </c>
      <c r="L363" s="29">
        <v>21.0</v>
      </c>
      <c r="M363" s="22" t="s">
        <v>474</v>
      </c>
    </row>
    <row r="364" ht="15.75" customHeight="1">
      <c r="A364" s="22" t="s">
        <v>480</v>
      </c>
      <c r="B364" s="23">
        <v>46035.0</v>
      </c>
      <c r="C364" s="22" t="s">
        <v>48</v>
      </c>
      <c r="D364" s="22" t="s">
        <v>108</v>
      </c>
      <c r="E364" s="29">
        <v>84.0</v>
      </c>
      <c r="F364" s="24">
        <v>1300.0</v>
      </c>
      <c r="G364" s="24">
        <v>1300.0</v>
      </c>
      <c r="H364" s="24">
        <v>109200.0</v>
      </c>
      <c r="I364" s="24">
        <v>2633.55</v>
      </c>
      <c r="J364" s="24">
        <v>0.0</v>
      </c>
      <c r="K364" s="22" t="s">
        <v>116</v>
      </c>
      <c r="L364" s="29">
        <v>1.0</v>
      </c>
      <c r="M364" s="22" t="s">
        <v>474</v>
      </c>
    </row>
    <row r="365" ht="15.75" customHeight="1">
      <c r="A365" s="22" t="s">
        <v>481</v>
      </c>
      <c r="B365" s="23">
        <v>46036.0</v>
      </c>
      <c r="C365" s="22" t="s">
        <v>56</v>
      </c>
      <c r="D365" s="22" t="s">
        <v>49</v>
      </c>
      <c r="E365" s="29">
        <v>255.0</v>
      </c>
      <c r="F365" s="24">
        <v>230.0</v>
      </c>
      <c r="G365" s="24">
        <v>230.0</v>
      </c>
      <c r="H365" s="24">
        <v>58650.0</v>
      </c>
      <c r="I365" s="24">
        <v>649.26</v>
      </c>
      <c r="J365" s="24">
        <v>118.17</v>
      </c>
      <c r="K365" s="22" t="s">
        <v>109</v>
      </c>
      <c r="L365" s="29">
        <v>9.0</v>
      </c>
      <c r="M365" s="22" t="s">
        <v>474</v>
      </c>
    </row>
    <row r="366" ht="15.75" customHeight="1">
      <c r="A366" s="22" t="s">
        <v>482</v>
      </c>
      <c r="B366" s="23">
        <v>46036.0</v>
      </c>
      <c r="C366" s="22" t="s">
        <v>38</v>
      </c>
      <c r="D366" s="22" t="s">
        <v>108</v>
      </c>
      <c r="E366" s="29">
        <v>154.0</v>
      </c>
      <c r="F366" s="24">
        <v>1290.0</v>
      </c>
      <c r="G366" s="24">
        <v>1290.0</v>
      </c>
      <c r="H366" s="24">
        <v>198660.0</v>
      </c>
      <c r="I366" s="24">
        <v>4490.93</v>
      </c>
      <c r="J366" s="24">
        <v>0.0</v>
      </c>
      <c r="K366" s="22" t="s">
        <v>116</v>
      </c>
      <c r="L366" s="29">
        <v>2.0</v>
      </c>
      <c r="M366" s="22" t="s">
        <v>474</v>
      </c>
    </row>
    <row r="367" ht="15.75" customHeight="1">
      <c r="A367" s="22" t="s">
        <v>483</v>
      </c>
      <c r="B367" s="23">
        <v>46037.0</v>
      </c>
      <c r="C367" s="22" t="s">
        <v>56</v>
      </c>
      <c r="D367" s="22" t="s">
        <v>10</v>
      </c>
      <c r="E367" s="29">
        <v>410.0</v>
      </c>
      <c r="F367" s="24">
        <v>820.0</v>
      </c>
      <c r="G367" s="24">
        <v>820.0</v>
      </c>
      <c r="H367" s="24">
        <v>336200.0</v>
      </c>
      <c r="I367" s="24">
        <v>9688.75</v>
      </c>
      <c r="J367" s="24">
        <v>0.0</v>
      </c>
      <c r="K367" s="22" t="s">
        <v>116</v>
      </c>
      <c r="L367" s="29">
        <v>7.0</v>
      </c>
      <c r="M367" s="22" t="s">
        <v>474</v>
      </c>
    </row>
    <row r="368" ht="15.75" customHeight="1">
      <c r="A368" s="22" t="s">
        <v>484</v>
      </c>
      <c r="B368" s="23">
        <v>46038.0</v>
      </c>
      <c r="C368" s="22" t="s">
        <v>48</v>
      </c>
      <c r="D368" s="22" t="s">
        <v>49</v>
      </c>
      <c r="E368" s="29">
        <v>167.0</v>
      </c>
      <c r="F368" s="24">
        <v>240.0</v>
      </c>
      <c r="G368" s="24">
        <v>240.0</v>
      </c>
      <c r="H368" s="24">
        <v>40080.0</v>
      </c>
      <c r="I368" s="24">
        <v>1936.05</v>
      </c>
      <c r="J368" s="24">
        <v>556.8</v>
      </c>
      <c r="K368" s="22" t="s">
        <v>112</v>
      </c>
      <c r="L368" s="29">
        <v>6.0</v>
      </c>
      <c r="M368" s="22" t="s">
        <v>474</v>
      </c>
    </row>
    <row r="369" ht="15.75" customHeight="1">
      <c r="A369" s="22" t="s">
        <v>485</v>
      </c>
      <c r="B369" s="23">
        <v>46038.0</v>
      </c>
      <c r="C369" s="22" t="s">
        <v>56</v>
      </c>
      <c r="D369" s="22" t="s">
        <v>49</v>
      </c>
      <c r="E369" s="29">
        <v>357.0</v>
      </c>
      <c r="F369" s="24">
        <v>230.0</v>
      </c>
      <c r="G369" s="24">
        <v>230.0</v>
      </c>
      <c r="H369" s="24">
        <v>82110.0</v>
      </c>
      <c r="I369" s="24">
        <v>2631.59</v>
      </c>
      <c r="J369" s="24">
        <v>511.32</v>
      </c>
      <c r="K369" s="22" t="s">
        <v>112</v>
      </c>
      <c r="L369" s="29">
        <v>14.0</v>
      </c>
      <c r="M369" s="22" t="s">
        <v>474</v>
      </c>
    </row>
    <row r="370" ht="15.75" customHeight="1">
      <c r="A370" s="22" t="s">
        <v>486</v>
      </c>
      <c r="B370" s="23">
        <v>46039.0</v>
      </c>
      <c r="C370" s="22" t="s">
        <v>38</v>
      </c>
      <c r="D370" s="22" t="s">
        <v>49</v>
      </c>
      <c r="E370" s="29">
        <v>208.0</v>
      </c>
      <c r="F370" s="24">
        <v>235.0</v>
      </c>
      <c r="G370" s="24">
        <v>235.0</v>
      </c>
      <c r="H370" s="24">
        <v>48880.0</v>
      </c>
      <c r="I370" s="24">
        <v>3181.35</v>
      </c>
      <c r="J370" s="24">
        <v>848.17</v>
      </c>
      <c r="K370" s="22" t="s">
        <v>114</v>
      </c>
      <c r="L370" s="29">
        <v>7.0</v>
      </c>
      <c r="M370" s="22" t="s">
        <v>474</v>
      </c>
    </row>
    <row r="371" ht="15.75" customHeight="1">
      <c r="A371" s="22" t="s">
        <v>487</v>
      </c>
      <c r="B371" s="23">
        <v>46039.0</v>
      </c>
      <c r="C371" s="22" t="s">
        <v>38</v>
      </c>
      <c r="D371" s="22" t="s">
        <v>49</v>
      </c>
      <c r="E371" s="29">
        <v>207.0</v>
      </c>
      <c r="F371" s="24">
        <v>235.0</v>
      </c>
      <c r="G371" s="24">
        <v>235.0</v>
      </c>
      <c r="H371" s="24">
        <v>48645.0</v>
      </c>
      <c r="I371" s="24">
        <v>2507.35</v>
      </c>
      <c r="J371" s="24">
        <v>186.99</v>
      </c>
      <c r="K371" s="22" t="s">
        <v>109</v>
      </c>
      <c r="L371" s="29">
        <v>11.0</v>
      </c>
      <c r="M371" s="22" t="s">
        <v>474</v>
      </c>
    </row>
    <row r="372" ht="15.75" customHeight="1">
      <c r="A372" s="22" t="s">
        <v>488</v>
      </c>
      <c r="B372" s="23">
        <v>46040.0</v>
      </c>
      <c r="C372" s="22" t="s">
        <v>48</v>
      </c>
      <c r="D372" s="22" t="s">
        <v>49</v>
      </c>
      <c r="E372" s="29">
        <v>285.0</v>
      </c>
      <c r="F372" s="24">
        <v>240.0</v>
      </c>
      <c r="G372" s="24">
        <v>240.0</v>
      </c>
      <c r="H372" s="24">
        <v>68400.0</v>
      </c>
      <c r="I372" s="24">
        <v>2422.28</v>
      </c>
      <c r="J372" s="24">
        <v>0.0</v>
      </c>
      <c r="K372" s="22" t="s">
        <v>116</v>
      </c>
      <c r="L372" s="29">
        <v>6.0</v>
      </c>
      <c r="M372" s="22" t="s">
        <v>474</v>
      </c>
    </row>
    <row r="373" ht="15.75" customHeight="1">
      <c r="A373" s="22" t="s">
        <v>489</v>
      </c>
      <c r="B373" s="23">
        <v>46042.0</v>
      </c>
      <c r="C373" s="22" t="s">
        <v>56</v>
      </c>
      <c r="D373" s="22" t="s">
        <v>108</v>
      </c>
      <c r="E373" s="29">
        <v>772.0</v>
      </c>
      <c r="F373" s="24">
        <v>1250.0</v>
      </c>
      <c r="G373" s="24">
        <v>1250.0</v>
      </c>
      <c r="H373" s="24">
        <v>965000.0</v>
      </c>
      <c r="I373" s="24">
        <v>28677.9</v>
      </c>
      <c r="J373" s="24">
        <v>0.0</v>
      </c>
      <c r="K373" s="22" t="s">
        <v>116</v>
      </c>
      <c r="L373" s="29">
        <v>20.0</v>
      </c>
      <c r="M373" s="22" t="s">
        <v>474</v>
      </c>
    </row>
    <row r="374" ht="15.75" customHeight="1">
      <c r="A374" s="22" t="s">
        <v>490</v>
      </c>
      <c r="B374" s="23">
        <v>46042.0</v>
      </c>
      <c r="C374" s="22" t="s">
        <v>48</v>
      </c>
      <c r="D374" s="22" t="s">
        <v>10</v>
      </c>
      <c r="E374" s="29">
        <v>295.0</v>
      </c>
      <c r="F374" s="24">
        <v>850.0</v>
      </c>
      <c r="G374" s="24">
        <v>850.0</v>
      </c>
      <c r="H374" s="24">
        <v>250750.0</v>
      </c>
      <c r="I374" s="24">
        <v>9655.72</v>
      </c>
      <c r="J374" s="24">
        <v>3453.41</v>
      </c>
      <c r="K374" s="22" t="s">
        <v>114</v>
      </c>
      <c r="L374" s="29">
        <v>5.0</v>
      </c>
      <c r="M374" s="22" t="s">
        <v>474</v>
      </c>
    </row>
    <row r="375" ht="15.75" customHeight="1">
      <c r="A375" s="22" t="s">
        <v>491</v>
      </c>
      <c r="B375" s="23">
        <v>46042.0</v>
      </c>
      <c r="C375" s="22" t="s">
        <v>48</v>
      </c>
      <c r="D375" s="22" t="s">
        <v>10</v>
      </c>
      <c r="E375" s="29">
        <v>335.0</v>
      </c>
      <c r="F375" s="24">
        <v>850.0</v>
      </c>
      <c r="G375" s="24">
        <v>850.0</v>
      </c>
      <c r="H375" s="24">
        <v>284750.0</v>
      </c>
      <c r="I375" s="24">
        <v>6624.27</v>
      </c>
      <c r="J375" s="24">
        <v>1867.29</v>
      </c>
      <c r="K375" s="22" t="s">
        <v>133</v>
      </c>
      <c r="L375" s="29">
        <v>3.0</v>
      </c>
      <c r="M375" s="22" t="s">
        <v>474</v>
      </c>
    </row>
    <row r="376" ht="15.75" customHeight="1">
      <c r="A376" s="22" t="s">
        <v>492</v>
      </c>
      <c r="B376" s="23">
        <v>46042.0</v>
      </c>
      <c r="C376" s="22" t="s">
        <v>48</v>
      </c>
      <c r="D376" s="22" t="s">
        <v>10</v>
      </c>
      <c r="E376" s="29">
        <v>162.0</v>
      </c>
      <c r="F376" s="24">
        <v>850.0</v>
      </c>
      <c r="G376" s="24">
        <v>850.0</v>
      </c>
      <c r="H376" s="24">
        <v>137700.0</v>
      </c>
      <c r="I376" s="24">
        <v>5308.66</v>
      </c>
      <c r="J376" s="24">
        <v>0.0</v>
      </c>
      <c r="K376" s="22" t="s">
        <v>116</v>
      </c>
      <c r="L376" s="29">
        <v>4.0</v>
      </c>
      <c r="M376" s="22" t="s">
        <v>474</v>
      </c>
    </row>
    <row r="377" ht="15.75" customHeight="1">
      <c r="A377" s="22" t="s">
        <v>493</v>
      </c>
      <c r="B377" s="23">
        <v>46043.0</v>
      </c>
      <c r="C377" s="22" t="s">
        <v>38</v>
      </c>
      <c r="D377" s="22" t="s">
        <v>49</v>
      </c>
      <c r="E377" s="29">
        <v>130.0</v>
      </c>
      <c r="F377" s="24">
        <v>235.0</v>
      </c>
      <c r="G377" s="24">
        <v>235.0</v>
      </c>
      <c r="H377" s="24">
        <v>30550.0</v>
      </c>
      <c r="I377" s="24">
        <v>1754.72</v>
      </c>
      <c r="J377" s="24">
        <v>442.1</v>
      </c>
      <c r="K377" s="22" t="s">
        <v>133</v>
      </c>
      <c r="L377" s="29">
        <v>5.0</v>
      </c>
      <c r="M377" s="22" t="s">
        <v>474</v>
      </c>
    </row>
    <row r="378" ht="15.75" customHeight="1">
      <c r="A378" s="22" t="s">
        <v>494</v>
      </c>
      <c r="B378" s="23">
        <v>46043.0</v>
      </c>
      <c r="C378" s="22" t="s">
        <v>48</v>
      </c>
      <c r="D378" s="22" t="s">
        <v>49</v>
      </c>
      <c r="E378" s="29">
        <v>76.0</v>
      </c>
      <c r="F378" s="24">
        <v>240.0</v>
      </c>
      <c r="G378" s="24">
        <v>240.0</v>
      </c>
      <c r="H378" s="24">
        <v>18240.0</v>
      </c>
      <c r="I378" s="24">
        <v>360.04</v>
      </c>
      <c r="J378" s="24">
        <v>307.54</v>
      </c>
      <c r="K378" s="22" t="s">
        <v>133</v>
      </c>
      <c r="L378" s="29">
        <v>1.0</v>
      </c>
      <c r="M378" s="22" t="s">
        <v>474</v>
      </c>
    </row>
    <row r="379" ht="15.75" customHeight="1">
      <c r="A379" s="22" t="s">
        <v>495</v>
      </c>
      <c r="B379" s="23">
        <v>46044.0</v>
      </c>
      <c r="C379" s="22" t="s">
        <v>38</v>
      </c>
      <c r="D379" s="22" t="s">
        <v>49</v>
      </c>
      <c r="E379" s="29">
        <v>117.0</v>
      </c>
      <c r="F379" s="24">
        <v>235.0</v>
      </c>
      <c r="G379" s="24">
        <v>235.0</v>
      </c>
      <c r="H379" s="24">
        <v>27495.0</v>
      </c>
      <c r="I379" s="24">
        <v>743.29</v>
      </c>
      <c r="J379" s="24">
        <v>0.0</v>
      </c>
      <c r="K379" s="22" t="s">
        <v>116</v>
      </c>
      <c r="L379" s="29">
        <v>4.0</v>
      </c>
      <c r="M379" s="22" t="s">
        <v>474</v>
      </c>
    </row>
    <row r="380" ht="15.75" customHeight="1">
      <c r="A380" s="22" t="s">
        <v>496</v>
      </c>
      <c r="B380" s="23">
        <v>46044.0</v>
      </c>
      <c r="C380" s="22" t="s">
        <v>48</v>
      </c>
      <c r="D380" s="22" t="s">
        <v>10</v>
      </c>
      <c r="E380" s="29">
        <v>212.0</v>
      </c>
      <c r="F380" s="24">
        <v>850.0</v>
      </c>
      <c r="G380" s="24">
        <v>850.0</v>
      </c>
      <c r="H380" s="24">
        <v>180200.0</v>
      </c>
      <c r="I380" s="24">
        <v>4100.44</v>
      </c>
      <c r="J380" s="24">
        <v>2180.88</v>
      </c>
      <c r="K380" s="22" t="s">
        <v>114</v>
      </c>
      <c r="L380" s="29">
        <v>6.0</v>
      </c>
      <c r="M380" s="22" t="s">
        <v>474</v>
      </c>
    </row>
    <row r="381" ht="15.75" customHeight="1">
      <c r="A381" s="22" t="s">
        <v>497</v>
      </c>
      <c r="B381" s="23">
        <v>46044.0</v>
      </c>
      <c r="C381" s="22" t="s">
        <v>38</v>
      </c>
      <c r="D381" s="22" t="s">
        <v>10</v>
      </c>
      <c r="E381" s="29">
        <v>256.0</v>
      </c>
      <c r="F381" s="24">
        <v>845.0</v>
      </c>
      <c r="G381" s="24">
        <v>845.0</v>
      </c>
      <c r="H381" s="24">
        <v>216320.0</v>
      </c>
      <c r="I381" s="24">
        <v>6784.8</v>
      </c>
      <c r="J381" s="24">
        <v>0.0</v>
      </c>
      <c r="K381" s="22" t="s">
        <v>116</v>
      </c>
      <c r="L381" s="29">
        <v>3.0</v>
      </c>
      <c r="M381" s="22" t="s">
        <v>474</v>
      </c>
    </row>
    <row r="382" ht="15.75" customHeight="1">
      <c r="A382" s="22" t="s">
        <v>498</v>
      </c>
      <c r="B382" s="23">
        <v>46046.0</v>
      </c>
      <c r="C382" s="22" t="s">
        <v>48</v>
      </c>
      <c r="D382" s="22" t="s">
        <v>10</v>
      </c>
      <c r="E382" s="29">
        <v>289.0</v>
      </c>
      <c r="F382" s="24">
        <v>850.0</v>
      </c>
      <c r="G382" s="24">
        <v>850.0</v>
      </c>
      <c r="H382" s="24">
        <v>245650.0</v>
      </c>
      <c r="I382" s="24">
        <v>10735.34</v>
      </c>
      <c r="J382" s="24">
        <v>3578.84</v>
      </c>
      <c r="K382" s="22" t="s">
        <v>114</v>
      </c>
      <c r="L382" s="29">
        <v>6.0</v>
      </c>
      <c r="M382" s="22" t="s">
        <v>474</v>
      </c>
    </row>
    <row r="383" ht="15.75" customHeight="1">
      <c r="A383" s="22" t="s">
        <v>499</v>
      </c>
      <c r="B383" s="23">
        <v>46046.0</v>
      </c>
      <c r="C383" s="22" t="s">
        <v>48</v>
      </c>
      <c r="D383" s="22" t="s">
        <v>108</v>
      </c>
      <c r="E383" s="29">
        <v>280.0</v>
      </c>
      <c r="F383" s="24">
        <v>1300.0</v>
      </c>
      <c r="G383" s="24">
        <v>1300.0</v>
      </c>
      <c r="H383" s="24">
        <v>364000.0</v>
      </c>
      <c r="I383" s="24">
        <v>12725.05</v>
      </c>
      <c r="J383" s="24">
        <v>0.0</v>
      </c>
      <c r="K383" s="22" t="s">
        <v>116</v>
      </c>
      <c r="L383" s="29">
        <v>4.0</v>
      </c>
      <c r="M383" s="22" t="s">
        <v>474</v>
      </c>
    </row>
    <row r="384" ht="15.75" customHeight="1">
      <c r="A384" s="22" t="s">
        <v>500</v>
      </c>
      <c r="B384" s="23">
        <v>46046.0</v>
      </c>
      <c r="C384" s="22" t="s">
        <v>48</v>
      </c>
      <c r="D384" s="22" t="s">
        <v>49</v>
      </c>
      <c r="E384" s="29">
        <v>1349.0</v>
      </c>
      <c r="F384" s="24">
        <v>240.0</v>
      </c>
      <c r="G384" s="24">
        <v>240.0</v>
      </c>
      <c r="H384" s="24">
        <v>323760.0</v>
      </c>
      <c r="I384" s="24">
        <v>16128.02</v>
      </c>
      <c r="J384" s="24">
        <v>3286.77</v>
      </c>
      <c r="K384" s="22" t="s">
        <v>114</v>
      </c>
      <c r="L384" s="29">
        <v>43.0</v>
      </c>
      <c r="M384" s="22" t="s">
        <v>474</v>
      </c>
    </row>
    <row r="385" ht="15.75" customHeight="1">
      <c r="A385" s="22" t="s">
        <v>501</v>
      </c>
      <c r="B385" s="23">
        <v>46048.0</v>
      </c>
      <c r="C385" s="22" t="s">
        <v>56</v>
      </c>
      <c r="D385" s="22" t="s">
        <v>49</v>
      </c>
      <c r="E385" s="29">
        <v>357.0</v>
      </c>
      <c r="F385" s="24">
        <v>230.0</v>
      </c>
      <c r="G385" s="24">
        <v>230.0</v>
      </c>
      <c r="H385" s="24">
        <v>82110.0</v>
      </c>
      <c r="I385" s="24">
        <v>2223.16</v>
      </c>
      <c r="J385" s="24">
        <v>506.78</v>
      </c>
      <c r="K385" s="22" t="s">
        <v>109</v>
      </c>
      <c r="L385" s="29">
        <v>10.0</v>
      </c>
      <c r="M385" s="22" t="s">
        <v>474</v>
      </c>
    </row>
    <row r="386" ht="15.75" customHeight="1">
      <c r="A386" s="22" t="s">
        <v>502</v>
      </c>
      <c r="B386" s="23">
        <v>46048.0</v>
      </c>
      <c r="C386" s="22" t="s">
        <v>38</v>
      </c>
      <c r="D386" s="22" t="s">
        <v>49</v>
      </c>
      <c r="E386" s="29">
        <v>206.0</v>
      </c>
      <c r="F386" s="24">
        <v>235.0</v>
      </c>
      <c r="G386" s="24">
        <v>235.0</v>
      </c>
      <c r="H386" s="24">
        <v>48410.0</v>
      </c>
      <c r="I386" s="24">
        <v>3085.0</v>
      </c>
      <c r="J386" s="24">
        <v>0.0</v>
      </c>
      <c r="K386" s="22" t="s">
        <v>116</v>
      </c>
      <c r="L386" s="29">
        <v>7.0</v>
      </c>
      <c r="M386" s="22" t="s">
        <v>474</v>
      </c>
    </row>
    <row r="387" ht="15.75" customHeight="1">
      <c r="A387" s="22" t="s">
        <v>503</v>
      </c>
      <c r="B387" s="23">
        <v>46049.0</v>
      </c>
      <c r="C387" s="22" t="s">
        <v>38</v>
      </c>
      <c r="D387" s="22" t="s">
        <v>49</v>
      </c>
      <c r="E387" s="29">
        <v>217.0</v>
      </c>
      <c r="F387" s="24">
        <v>235.0</v>
      </c>
      <c r="G387" s="24">
        <v>235.0</v>
      </c>
      <c r="H387" s="24">
        <v>50995.0</v>
      </c>
      <c r="I387" s="24">
        <v>3073.85</v>
      </c>
      <c r="J387" s="24">
        <v>255.82</v>
      </c>
      <c r="K387" s="22" t="s">
        <v>109</v>
      </c>
      <c r="L387" s="29">
        <v>6.0</v>
      </c>
      <c r="M387" s="22" t="s">
        <v>474</v>
      </c>
    </row>
    <row r="388" ht="15.75" customHeight="1">
      <c r="A388" s="22" t="s">
        <v>504</v>
      </c>
      <c r="B388" s="23">
        <v>46051.0</v>
      </c>
      <c r="C388" s="22" t="s">
        <v>48</v>
      </c>
      <c r="D388" s="22" t="s">
        <v>10</v>
      </c>
      <c r="E388" s="29">
        <v>235.0</v>
      </c>
      <c r="F388" s="24">
        <v>850.0</v>
      </c>
      <c r="G388" s="24">
        <v>850.0</v>
      </c>
      <c r="H388" s="24">
        <v>199750.0</v>
      </c>
      <c r="I388" s="24">
        <v>8503.37</v>
      </c>
      <c r="J388" s="24">
        <v>0.0</v>
      </c>
      <c r="K388" s="22" t="s">
        <v>116</v>
      </c>
      <c r="L388" s="29">
        <v>6.0</v>
      </c>
      <c r="M388" s="22" t="s">
        <v>474</v>
      </c>
    </row>
    <row r="389" ht="15.75" customHeight="1">
      <c r="A389" s="22" t="s">
        <v>505</v>
      </c>
      <c r="B389" s="23">
        <v>46052.0</v>
      </c>
      <c r="C389" s="22" t="s">
        <v>38</v>
      </c>
      <c r="D389" s="22" t="s">
        <v>49</v>
      </c>
      <c r="E389" s="29">
        <v>187.0</v>
      </c>
      <c r="F389" s="24">
        <v>235.0</v>
      </c>
      <c r="G389" s="24">
        <v>235.0</v>
      </c>
      <c r="H389" s="24">
        <v>43945.0</v>
      </c>
      <c r="I389" s="24">
        <v>2014.79</v>
      </c>
      <c r="J389" s="24">
        <v>0.0</v>
      </c>
      <c r="K389" s="22" t="s">
        <v>116</v>
      </c>
      <c r="L389" s="29">
        <v>7.0</v>
      </c>
      <c r="M389" s="22" t="s">
        <v>474</v>
      </c>
    </row>
    <row r="390" ht="15.75" customHeight="1">
      <c r="A390" s="22" t="s">
        <v>506</v>
      </c>
      <c r="B390" s="23">
        <v>46052.0</v>
      </c>
      <c r="C390" s="22" t="s">
        <v>48</v>
      </c>
      <c r="D390" s="22" t="s">
        <v>49</v>
      </c>
      <c r="E390" s="29">
        <v>142.0</v>
      </c>
      <c r="F390" s="24">
        <v>240.0</v>
      </c>
      <c r="G390" s="24">
        <v>240.0</v>
      </c>
      <c r="H390" s="24">
        <v>34080.0</v>
      </c>
      <c r="I390" s="24">
        <v>1390.72</v>
      </c>
      <c r="J390" s="24">
        <v>0.0</v>
      </c>
      <c r="K390" s="22" t="s">
        <v>116</v>
      </c>
      <c r="L390" s="29">
        <v>5.0</v>
      </c>
      <c r="M390" s="22" t="s">
        <v>474</v>
      </c>
    </row>
    <row r="391" ht="15.75" customHeight="1">
      <c r="A391" s="22" t="s">
        <v>507</v>
      </c>
      <c r="B391" s="23">
        <v>46054.0</v>
      </c>
      <c r="C391" s="22" t="s">
        <v>38</v>
      </c>
      <c r="D391" s="22" t="s">
        <v>10</v>
      </c>
      <c r="E391" s="29">
        <v>138.0</v>
      </c>
      <c r="F391" s="24">
        <v>845.0</v>
      </c>
      <c r="G391" s="24">
        <v>845.0</v>
      </c>
      <c r="H391" s="24">
        <v>116610.0</v>
      </c>
      <c r="I391" s="24">
        <v>3047.45</v>
      </c>
      <c r="J391" s="24">
        <v>0.0</v>
      </c>
      <c r="K391" s="22" t="s">
        <v>116</v>
      </c>
      <c r="L391" s="29">
        <v>9.0</v>
      </c>
      <c r="M391" s="22" t="s">
        <v>508</v>
      </c>
    </row>
    <row r="392" ht="15.75" customHeight="1">
      <c r="A392" s="22" t="s">
        <v>509</v>
      </c>
      <c r="B392" s="23">
        <v>46054.0</v>
      </c>
      <c r="C392" s="22" t="s">
        <v>38</v>
      </c>
      <c r="D392" s="22" t="s">
        <v>10</v>
      </c>
      <c r="E392" s="29">
        <v>712.0</v>
      </c>
      <c r="F392" s="24">
        <v>845.0</v>
      </c>
      <c r="G392" s="24">
        <v>845.0</v>
      </c>
      <c r="H392" s="24">
        <v>601640.0</v>
      </c>
      <c r="I392" s="24">
        <v>12693.94</v>
      </c>
      <c r="J392" s="24">
        <v>7939.91</v>
      </c>
      <c r="K392" s="22" t="s">
        <v>133</v>
      </c>
      <c r="L392" s="29">
        <v>19.0</v>
      </c>
      <c r="M392" s="22" t="s">
        <v>508</v>
      </c>
    </row>
    <row r="393" ht="15.75" customHeight="1">
      <c r="A393" s="22" t="s">
        <v>510</v>
      </c>
      <c r="B393" s="23">
        <v>46057.0</v>
      </c>
      <c r="C393" s="22" t="s">
        <v>38</v>
      </c>
      <c r="D393" s="22" t="s">
        <v>108</v>
      </c>
      <c r="E393" s="29">
        <v>220.0</v>
      </c>
      <c r="F393" s="24">
        <v>1290.0</v>
      </c>
      <c r="G393" s="24">
        <v>1290.0</v>
      </c>
      <c r="H393" s="24">
        <v>283800.0</v>
      </c>
      <c r="I393" s="24">
        <v>21080.4</v>
      </c>
      <c r="J393" s="24">
        <v>4765.52</v>
      </c>
      <c r="K393" s="22" t="s">
        <v>133</v>
      </c>
      <c r="L393" s="29">
        <v>1.0</v>
      </c>
      <c r="M393" s="22" t="s">
        <v>508</v>
      </c>
    </row>
    <row r="394" ht="15.75" customHeight="1">
      <c r="A394" s="22" t="s">
        <v>511</v>
      </c>
      <c r="B394" s="23">
        <v>46057.0</v>
      </c>
      <c r="C394" s="22" t="s">
        <v>38</v>
      </c>
      <c r="D394" s="22" t="s">
        <v>108</v>
      </c>
      <c r="E394" s="29">
        <v>293.0</v>
      </c>
      <c r="F394" s="24">
        <v>1290.0</v>
      </c>
      <c r="G394" s="24">
        <v>1290.0</v>
      </c>
      <c r="H394" s="24">
        <v>377970.0</v>
      </c>
      <c r="I394" s="24">
        <v>26780.71</v>
      </c>
      <c r="J394" s="24">
        <v>2376.71</v>
      </c>
      <c r="K394" s="22" t="s">
        <v>133</v>
      </c>
      <c r="L394" s="29">
        <v>4.0</v>
      </c>
      <c r="M394" s="22" t="s">
        <v>508</v>
      </c>
    </row>
    <row r="395" ht="15.75" customHeight="1">
      <c r="A395" s="22" t="s">
        <v>512</v>
      </c>
      <c r="B395" s="23">
        <v>46058.0</v>
      </c>
      <c r="C395" s="22" t="s">
        <v>48</v>
      </c>
      <c r="D395" s="22" t="s">
        <v>10</v>
      </c>
      <c r="E395" s="29">
        <v>287.0</v>
      </c>
      <c r="F395" s="24">
        <v>850.0</v>
      </c>
      <c r="G395" s="24">
        <v>850.0</v>
      </c>
      <c r="H395" s="24">
        <v>243950.0</v>
      </c>
      <c r="I395" s="24">
        <v>12600.71</v>
      </c>
      <c r="J395" s="24">
        <v>2443.37</v>
      </c>
      <c r="K395" s="22" t="s">
        <v>109</v>
      </c>
      <c r="L395" s="29">
        <v>7.0</v>
      </c>
      <c r="M395" s="22" t="s">
        <v>508</v>
      </c>
    </row>
    <row r="396" ht="15.75" customHeight="1">
      <c r="A396" s="22" t="s">
        <v>513</v>
      </c>
      <c r="B396" s="23">
        <v>46058.0</v>
      </c>
      <c r="C396" s="22" t="s">
        <v>56</v>
      </c>
      <c r="D396" s="22" t="s">
        <v>49</v>
      </c>
      <c r="E396" s="29">
        <v>273.0</v>
      </c>
      <c r="F396" s="24">
        <v>230.0</v>
      </c>
      <c r="G396" s="24">
        <v>230.0</v>
      </c>
      <c r="H396" s="24">
        <v>62790.0</v>
      </c>
      <c r="I396" s="24">
        <v>2043.62</v>
      </c>
      <c r="J396" s="24">
        <v>390.54</v>
      </c>
      <c r="K396" s="22" t="s">
        <v>133</v>
      </c>
      <c r="L396" s="29">
        <v>13.0</v>
      </c>
      <c r="M396" s="22" t="s">
        <v>508</v>
      </c>
    </row>
    <row r="397" ht="15.75" customHeight="1">
      <c r="A397" s="22" t="s">
        <v>514</v>
      </c>
      <c r="B397" s="23">
        <v>46058.0</v>
      </c>
      <c r="C397" s="22" t="s">
        <v>48</v>
      </c>
      <c r="D397" s="22" t="s">
        <v>10</v>
      </c>
      <c r="E397" s="29">
        <v>200.0</v>
      </c>
      <c r="F397" s="24">
        <v>850.0</v>
      </c>
      <c r="G397" s="24">
        <v>850.0</v>
      </c>
      <c r="H397" s="24">
        <v>170000.0</v>
      </c>
      <c r="I397" s="24">
        <v>6599.89</v>
      </c>
      <c r="J397" s="24">
        <v>2078.73</v>
      </c>
      <c r="K397" s="22" t="s">
        <v>112</v>
      </c>
      <c r="L397" s="29">
        <v>2.0</v>
      </c>
      <c r="M397" s="22" t="s">
        <v>508</v>
      </c>
    </row>
    <row r="398" ht="15.75" customHeight="1">
      <c r="A398" s="22" t="s">
        <v>515</v>
      </c>
      <c r="B398" s="23">
        <v>46059.0</v>
      </c>
      <c r="C398" s="22" t="s">
        <v>56</v>
      </c>
      <c r="D398" s="22" t="s">
        <v>10</v>
      </c>
      <c r="E398" s="29">
        <v>219.0</v>
      </c>
      <c r="F398" s="24">
        <v>820.0</v>
      </c>
      <c r="G398" s="24">
        <v>820.0</v>
      </c>
      <c r="H398" s="24">
        <v>179580.0</v>
      </c>
      <c r="I398" s="24">
        <v>2819.8</v>
      </c>
      <c r="J398" s="24">
        <v>1239.6</v>
      </c>
      <c r="K398" s="22" t="s">
        <v>133</v>
      </c>
      <c r="L398" s="29">
        <v>8.0</v>
      </c>
      <c r="M398" s="22" t="s">
        <v>508</v>
      </c>
    </row>
    <row r="399" ht="15.75" customHeight="1">
      <c r="A399" s="22" t="s">
        <v>516</v>
      </c>
      <c r="B399" s="23">
        <v>46059.0</v>
      </c>
      <c r="C399" s="22" t="s">
        <v>48</v>
      </c>
      <c r="D399" s="22" t="s">
        <v>49</v>
      </c>
      <c r="E399" s="29">
        <v>221.0</v>
      </c>
      <c r="F399" s="24">
        <v>240.0</v>
      </c>
      <c r="G399" s="24">
        <v>240.0</v>
      </c>
      <c r="H399" s="24">
        <v>53040.0</v>
      </c>
      <c r="I399" s="24">
        <v>2216.48</v>
      </c>
      <c r="J399" s="24">
        <v>85.52</v>
      </c>
      <c r="K399" s="22" t="s">
        <v>114</v>
      </c>
      <c r="L399" s="29">
        <v>5.0</v>
      </c>
      <c r="M399" s="22" t="s">
        <v>508</v>
      </c>
    </row>
    <row r="400" ht="15.75" customHeight="1">
      <c r="A400" s="22" t="s">
        <v>517</v>
      </c>
      <c r="B400" s="23">
        <v>46060.0</v>
      </c>
      <c r="C400" s="22" t="s">
        <v>48</v>
      </c>
      <c r="D400" s="22" t="s">
        <v>49</v>
      </c>
      <c r="E400" s="29">
        <v>1266.0</v>
      </c>
      <c r="F400" s="24">
        <v>240.0</v>
      </c>
      <c r="G400" s="24">
        <v>240.0</v>
      </c>
      <c r="H400" s="24">
        <v>303840.0</v>
      </c>
      <c r="I400" s="24">
        <v>6107.67</v>
      </c>
      <c r="J400" s="24">
        <v>0.0</v>
      </c>
      <c r="K400" s="22" t="s">
        <v>116</v>
      </c>
      <c r="L400" s="29">
        <v>40.0</v>
      </c>
      <c r="M400" s="22" t="s">
        <v>508</v>
      </c>
    </row>
    <row r="401" ht="15.75" customHeight="1">
      <c r="A401" s="22" t="s">
        <v>518</v>
      </c>
      <c r="B401" s="23">
        <v>46060.0</v>
      </c>
      <c r="C401" s="22" t="s">
        <v>38</v>
      </c>
      <c r="D401" s="22" t="s">
        <v>10</v>
      </c>
      <c r="E401" s="29">
        <v>258.0</v>
      </c>
      <c r="F401" s="24">
        <v>845.0</v>
      </c>
      <c r="G401" s="24">
        <v>845.0</v>
      </c>
      <c r="H401" s="24">
        <v>218010.0</v>
      </c>
      <c r="I401" s="24">
        <v>6875.35</v>
      </c>
      <c r="J401" s="24">
        <v>0.0</v>
      </c>
      <c r="K401" s="22" t="s">
        <v>116</v>
      </c>
      <c r="L401" s="29">
        <v>8.0</v>
      </c>
      <c r="M401" s="22" t="s">
        <v>508</v>
      </c>
    </row>
    <row r="402" ht="15.75" customHeight="1">
      <c r="A402" s="22" t="s">
        <v>519</v>
      </c>
      <c r="B402" s="23">
        <v>46061.0</v>
      </c>
      <c r="C402" s="22" t="s">
        <v>48</v>
      </c>
      <c r="D402" s="22" t="s">
        <v>108</v>
      </c>
      <c r="E402" s="29">
        <v>118.0</v>
      </c>
      <c r="F402" s="24">
        <v>1300.0</v>
      </c>
      <c r="G402" s="24">
        <v>1300.0</v>
      </c>
      <c r="H402" s="24">
        <v>153400.0</v>
      </c>
      <c r="I402" s="24">
        <v>8828.51</v>
      </c>
      <c r="J402" s="24">
        <v>333.18</v>
      </c>
      <c r="K402" s="22" t="s">
        <v>133</v>
      </c>
      <c r="L402" s="29">
        <v>2.0</v>
      </c>
      <c r="M402" s="22" t="s">
        <v>508</v>
      </c>
    </row>
    <row r="403" ht="15.75" customHeight="1">
      <c r="A403" s="22" t="s">
        <v>520</v>
      </c>
      <c r="B403" s="23">
        <v>46061.0</v>
      </c>
      <c r="C403" s="22" t="s">
        <v>56</v>
      </c>
      <c r="D403" s="22" t="s">
        <v>49</v>
      </c>
      <c r="E403" s="29">
        <v>664.0</v>
      </c>
      <c r="F403" s="24">
        <v>230.0</v>
      </c>
      <c r="G403" s="24">
        <v>230.0</v>
      </c>
      <c r="H403" s="24">
        <v>152720.0</v>
      </c>
      <c r="I403" s="24">
        <v>3190.18</v>
      </c>
      <c r="J403" s="24">
        <v>0.0</v>
      </c>
      <c r="K403" s="22" t="s">
        <v>116</v>
      </c>
      <c r="L403" s="29">
        <v>18.0</v>
      </c>
      <c r="M403" s="22" t="s">
        <v>508</v>
      </c>
    </row>
    <row r="404" ht="15.75" customHeight="1">
      <c r="A404" s="22" t="s">
        <v>521</v>
      </c>
      <c r="B404" s="23">
        <v>46063.0</v>
      </c>
      <c r="C404" s="22" t="s">
        <v>38</v>
      </c>
      <c r="D404" s="22" t="s">
        <v>10</v>
      </c>
      <c r="E404" s="29">
        <v>118.0</v>
      </c>
      <c r="F404" s="24">
        <v>845.0</v>
      </c>
      <c r="G404" s="24">
        <v>845.0</v>
      </c>
      <c r="H404" s="24">
        <v>99710.0</v>
      </c>
      <c r="I404" s="24">
        <v>2489.73</v>
      </c>
      <c r="J404" s="24">
        <v>367.82</v>
      </c>
      <c r="K404" s="22" t="s">
        <v>109</v>
      </c>
      <c r="L404" s="29">
        <v>1.0</v>
      </c>
      <c r="M404" s="22" t="s">
        <v>508</v>
      </c>
    </row>
    <row r="405" ht="15.75" customHeight="1">
      <c r="A405" s="22" t="s">
        <v>522</v>
      </c>
      <c r="B405" s="23">
        <v>46063.0</v>
      </c>
      <c r="C405" s="22" t="s">
        <v>56</v>
      </c>
      <c r="D405" s="22" t="s">
        <v>10</v>
      </c>
      <c r="E405" s="29">
        <v>182.0</v>
      </c>
      <c r="F405" s="24">
        <v>820.0</v>
      </c>
      <c r="G405" s="24">
        <v>820.0</v>
      </c>
      <c r="H405" s="24">
        <v>149240.0</v>
      </c>
      <c r="I405" s="24">
        <v>2300.82</v>
      </c>
      <c r="J405" s="24">
        <v>0.0</v>
      </c>
      <c r="K405" s="22" t="s">
        <v>116</v>
      </c>
      <c r="L405" s="29">
        <v>3.0</v>
      </c>
      <c r="M405" s="22" t="s">
        <v>508</v>
      </c>
    </row>
    <row r="406" ht="15.75" customHeight="1">
      <c r="A406" s="22" t="s">
        <v>523</v>
      </c>
      <c r="B406" s="23">
        <v>46065.0</v>
      </c>
      <c r="C406" s="22" t="s">
        <v>48</v>
      </c>
      <c r="D406" s="22" t="s">
        <v>10</v>
      </c>
      <c r="E406" s="29">
        <v>135.0</v>
      </c>
      <c r="F406" s="24">
        <v>850.0</v>
      </c>
      <c r="G406" s="24">
        <v>850.0</v>
      </c>
      <c r="H406" s="24">
        <v>114750.0</v>
      </c>
      <c r="I406" s="24">
        <v>5127.02</v>
      </c>
      <c r="J406" s="24">
        <v>0.0</v>
      </c>
      <c r="K406" s="22" t="s">
        <v>116</v>
      </c>
      <c r="L406" s="29">
        <v>2.0</v>
      </c>
      <c r="M406" s="22" t="s">
        <v>508</v>
      </c>
    </row>
    <row r="407" ht="15.75" customHeight="1">
      <c r="A407" s="22" t="s">
        <v>524</v>
      </c>
      <c r="B407" s="23">
        <v>46066.0</v>
      </c>
      <c r="C407" s="22" t="s">
        <v>38</v>
      </c>
      <c r="D407" s="22" t="s">
        <v>10</v>
      </c>
      <c r="E407" s="29">
        <v>60.0</v>
      </c>
      <c r="F407" s="24">
        <v>845.0</v>
      </c>
      <c r="G407" s="24">
        <v>845.0</v>
      </c>
      <c r="H407" s="24">
        <v>50700.0</v>
      </c>
      <c r="I407" s="24">
        <v>1214.31</v>
      </c>
      <c r="J407" s="24">
        <v>0.0</v>
      </c>
      <c r="K407" s="22" t="s">
        <v>116</v>
      </c>
      <c r="L407" s="29">
        <v>1.0</v>
      </c>
      <c r="M407" s="22" t="s">
        <v>508</v>
      </c>
    </row>
    <row r="408" ht="15.75" customHeight="1">
      <c r="A408" s="22" t="s">
        <v>525</v>
      </c>
      <c r="B408" s="23">
        <v>46067.0</v>
      </c>
      <c r="C408" s="22" t="s">
        <v>56</v>
      </c>
      <c r="D408" s="22" t="s">
        <v>49</v>
      </c>
      <c r="E408" s="29">
        <v>167.0</v>
      </c>
      <c r="F408" s="24">
        <v>230.0</v>
      </c>
      <c r="G408" s="24">
        <v>230.0</v>
      </c>
      <c r="H408" s="24">
        <v>38410.0</v>
      </c>
      <c r="I408" s="24">
        <v>831.0</v>
      </c>
      <c r="J408" s="24">
        <v>0.0</v>
      </c>
      <c r="K408" s="22" t="s">
        <v>116</v>
      </c>
      <c r="L408" s="29">
        <v>5.0</v>
      </c>
      <c r="M408" s="22" t="s">
        <v>508</v>
      </c>
    </row>
    <row r="409" ht="15.75" customHeight="1">
      <c r="A409" s="22" t="s">
        <v>526</v>
      </c>
      <c r="B409" s="23">
        <v>46068.0</v>
      </c>
      <c r="C409" s="22" t="s">
        <v>48</v>
      </c>
      <c r="D409" s="22" t="s">
        <v>10</v>
      </c>
      <c r="E409" s="29">
        <v>92.0</v>
      </c>
      <c r="F409" s="24">
        <v>850.0</v>
      </c>
      <c r="G409" s="24">
        <v>850.0</v>
      </c>
      <c r="H409" s="24">
        <v>78200.0</v>
      </c>
      <c r="I409" s="24">
        <v>2810.54</v>
      </c>
      <c r="J409" s="24">
        <v>0.0</v>
      </c>
      <c r="K409" s="22" t="s">
        <v>116</v>
      </c>
      <c r="L409" s="29">
        <v>1.0</v>
      </c>
      <c r="M409" s="22" t="s">
        <v>508</v>
      </c>
    </row>
    <row r="410" ht="15.75" customHeight="1">
      <c r="A410" s="22" t="s">
        <v>527</v>
      </c>
      <c r="B410" s="23">
        <v>46068.0</v>
      </c>
      <c r="C410" s="22" t="s">
        <v>38</v>
      </c>
      <c r="D410" s="22" t="s">
        <v>10</v>
      </c>
      <c r="E410" s="29">
        <v>550.0</v>
      </c>
      <c r="F410" s="24">
        <v>845.0</v>
      </c>
      <c r="G410" s="24">
        <v>845.0</v>
      </c>
      <c r="H410" s="24">
        <v>464750.0</v>
      </c>
      <c r="I410" s="24">
        <v>15454.68</v>
      </c>
      <c r="J410" s="24">
        <v>1919.59</v>
      </c>
      <c r="K410" s="22" t="s">
        <v>133</v>
      </c>
      <c r="L410" s="29">
        <v>11.0</v>
      </c>
      <c r="M410" s="22" t="s">
        <v>508</v>
      </c>
    </row>
    <row r="411" ht="15.75" customHeight="1">
      <c r="A411" s="22" t="s">
        <v>528</v>
      </c>
      <c r="B411" s="23">
        <v>46068.0</v>
      </c>
      <c r="C411" s="22" t="s">
        <v>48</v>
      </c>
      <c r="D411" s="22" t="s">
        <v>10</v>
      </c>
      <c r="E411" s="29">
        <v>165.0</v>
      </c>
      <c r="F411" s="24">
        <v>850.0</v>
      </c>
      <c r="G411" s="24">
        <v>850.0</v>
      </c>
      <c r="H411" s="24">
        <v>140250.0</v>
      </c>
      <c r="I411" s="24">
        <v>3871.82</v>
      </c>
      <c r="J411" s="24">
        <v>0.0</v>
      </c>
      <c r="K411" s="22" t="s">
        <v>116</v>
      </c>
      <c r="L411" s="29">
        <v>6.0</v>
      </c>
      <c r="M411" s="22" t="s">
        <v>508</v>
      </c>
    </row>
    <row r="412" ht="15.75" customHeight="1">
      <c r="A412" s="22" t="s">
        <v>529</v>
      </c>
      <c r="B412" s="23">
        <v>46069.0</v>
      </c>
      <c r="C412" s="22" t="s">
        <v>48</v>
      </c>
      <c r="D412" s="22" t="s">
        <v>108</v>
      </c>
      <c r="E412" s="29">
        <v>364.0</v>
      </c>
      <c r="F412" s="24">
        <v>1300.0</v>
      </c>
      <c r="G412" s="24">
        <v>1300.0</v>
      </c>
      <c r="H412" s="24">
        <v>473200.0</v>
      </c>
      <c r="I412" s="24">
        <v>12789.08</v>
      </c>
      <c r="J412" s="24">
        <v>1179.0</v>
      </c>
      <c r="K412" s="22" t="s">
        <v>133</v>
      </c>
      <c r="L412" s="29">
        <v>4.0</v>
      </c>
      <c r="M412" s="22" t="s">
        <v>508</v>
      </c>
    </row>
    <row r="413" ht="15.75" customHeight="1">
      <c r="A413" s="22" t="s">
        <v>530</v>
      </c>
      <c r="B413" s="23">
        <v>46069.0</v>
      </c>
      <c r="C413" s="22" t="s">
        <v>48</v>
      </c>
      <c r="D413" s="22" t="s">
        <v>10</v>
      </c>
      <c r="E413" s="29">
        <v>384.0</v>
      </c>
      <c r="F413" s="24">
        <v>850.0</v>
      </c>
      <c r="G413" s="24">
        <v>850.0</v>
      </c>
      <c r="H413" s="24">
        <v>326400.0</v>
      </c>
      <c r="I413" s="24">
        <v>16660.94</v>
      </c>
      <c r="J413" s="24">
        <v>3944.01</v>
      </c>
      <c r="K413" s="22" t="s">
        <v>114</v>
      </c>
      <c r="L413" s="29">
        <v>9.0</v>
      </c>
      <c r="M413" s="22" t="s">
        <v>508</v>
      </c>
    </row>
    <row r="414" ht="15.75" customHeight="1">
      <c r="A414" s="22" t="s">
        <v>531</v>
      </c>
      <c r="B414" s="23">
        <v>46070.0</v>
      </c>
      <c r="C414" s="22" t="s">
        <v>38</v>
      </c>
      <c r="D414" s="22" t="s">
        <v>49</v>
      </c>
      <c r="E414" s="29">
        <v>254.0</v>
      </c>
      <c r="F414" s="24">
        <v>235.0</v>
      </c>
      <c r="G414" s="24">
        <v>235.0</v>
      </c>
      <c r="H414" s="24">
        <v>59690.0</v>
      </c>
      <c r="I414" s="24">
        <v>2359.44</v>
      </c>
      <c r="J414" s="24">
        <v>613.87</v>
      </c>
      <c r="K414" s="22" t="s">
        <v>112</v>
      </c>
      <c r="L414" s="29">
        <v>7.0</v>
      </c>
      <c r="M414" s="22" t="s">
        <v>508</v>
      </c>
    </row>
    <row r="415" ht="15.75" customHeight="1">
      <c r="A415" s="22" t="s">
        <v>532</v>
      </c>
      <c r="B415" s="23">
        <v>46071.0</v>
      </c>
      <c r="C415" s="22" t="s">
        <v>48</v>
      </c>
      <c r="D415" s="22" t="s">
        <v>49</v>
      </c>
      <c r="E415" s="29">
        <v>237.0</v>
      </c>
      <c r="F415" s="24">
        <v>240.0</v>
      </c>
      <c r="G415" s="24">
        <v>240.0</v>
      </c>
      <c r="H415" s="24">
        <v>56880.0</v>
      </c>
      <c r="I415" s="24">
        <v>2966.2</v>
      </c>
      <c r="J415" s="24">
        <v>785.48</v>
      </c>
      <c r="K415" s="22" t="s">
        <v>109</v>
      </c>
      <c r="L415" s="29">
        <v>4.0</v>
      </c>
      <c r="M415" s="22" t="s">
        <v>508</v>
      </c>
    </row>
    <row r="416" ht="15.75" customHeight="1">
      <c r="A416" s="22" t="s">
        <v>533</v>
      </c>
      <c r="B416" s="23">
        <v>46071.0</v>
      </c>
      <c r="C416" s="22" t="s">
        <v>56</v>
      </c>
      <c r="D416" s="22" t="s">
        <v>108</v>
      </c>
      <c r="E416" s="29">
        <v>235.0</v>
      </c>
      <c r="F416" s="24">
        <v>1250.0</v>
      </c>
      <c r="G416" s="24">
        <v>1250.0</v>
      </c>
      <c r="H416" s="24">
        <v>293750.0</v>
      </c>
      <c r="I416" s="24">
        <v>4888.28</v>
      </c>
      <c r="J416" s="24">
        <v>0.0</v>
      </c>
      <c r="K416" s="22" t="s">
        <v>116</v>
      </c>
      <c r="L416" s="29">
        <v>4.0</v>
      </c>
      <c r="M416" s="22" t="s">
        <v>508</v>
      </c>
    </row>
    <row r="417" ht="15.75" customHeight="1">
      <c r="A417" s="22" t="s">
        <v>534</v>
      </c>
      <c r="B417" s="23">
        <v>46072.0</v>
      </c>
      <c r="C417" s="22" t="s">
        <v>38</v>
      </c>
      <c r="D417" s="22" t="s">
        <v>49</v>
      </c>
      <c r="E417" s="29">
        <v>441.0</v>
      </c>
      <c r="F417" s="24">
        <v>235.0</v>
      </c>
      <c r="G417" s="24">
        <v>235.0</v>
      </c>
      <c r="H417" s="24">
        <v>103635.0</v>
      </c>
      <c r="I417" s="24">
        <v>5191.51</v>
      </c>
      <c r="J417" s="24">
        <v>1562.74</v>
      </c>
      <c r="K417" s="22" t="s">
        <v>133</v>
      </c>
      <c r="L417" s="29">
        <v>11.0</v>
      </c>
      <c r="M417" s="22" t="s">
        <v>508</v>
      </c>
    </row>
    <row r="418" ht="15.75" customHeight="1">
      <c r="A418" s="22" t="s">
        <v>535</v>
      </c>
      <c r="B418" s="23">
        <v>46072.0</v>
      </c>
      <c r="C418" s="22" t="s">
        <v>56</v>
      </c>
      <c r="D418" s="22" t="s">
        <v>10</v>
      </c>
      <c r="E418" s="29">
        <v>151.0</v>
      </c>
      <c r="F418" s="24">
        <v>820.0</v>
      </c>
      <c r="G418" s="24">
        <v>820.0</v>
      </c>
      <c r="H418" s="24">
        <v>123820.0</v>
      </c>
      <c r="I418" s="24">
        <v>4530.27</v>
      </c>
      <c r="J418" s="24">
        <v>343.86</v>
      </c>
      <c r="K418" s="22" t="s">
        <v>112</v>
      </c>
      <c r="L418" s="29">
        <v>4.0</v>
      </c>
      <c r="M418" s="22" t="s">
        <v>508</v>
      </c>
    </row>
    <row r="419" ht="15.75" customHeight="1">
      <c r="A419" s="22" t="s">
        <v>536</v>
      </c>
      <c r="B419" s="23">
        <v>46073.0</v>
      </c>
      <c r="C419" s="22" t="s">
        <v>48</v>
      </c>
      <c r="D419" s="22" t="s">
        <v>49</v>
      </c>
      <c r="E419" s="29">
        <v>281.0</v>
      </c>
      <c r="F419" s="24">
        <v>240.0</v>
      </c>
      <c r="G419" s="24">
        <v>240.0</v>
      </c>
      <c r="H419" s="24">
        <v>67440.0</v>
      </c>
      <c r="I419" s="24">
        <v>3141.99</v>
      </c>
      <c r="J419" s="24">
        <v>274.96</v>
      </c>
      <c r="K419" s="22" t="s">
        <v>112</v>
      </c>
      <c r="L419" s="29">
        <v>9.0</v>
      </c>
      <c r="M419" s="22" t="s">
        <v>508</v>
      </c>
    </row>
    <row r="420" ht="15.75" customHeight="1">
      <c r="A420" s="22" t="s">
        <v>537</v>
      </c>
      <c r="B420" s="23">
        <v>46074.0</v>
      </c>
      <c r="C420" s="22" t="s">
        <v>38</v>
      </c>
      <c r="D420" s="22" t="s">
        <v>10</v>
      </c>
      <c r="E420" s="29">
        <v>297.0</v>
      </c>
      <c r="F420" s="24">
        <v>845.0</v>
      </c>
      <c r="G420" s="24">
        <v>845.0</v>
      </c>
      <c r="H420" s="24">
        <v>250965.0</v>
      </c>
      <c r="I420" s="24">
        <v>10631.6</v>
      </c>
      <c r="J420" s="24">
        <v>2699.81</v>
      </c>
      <c r="K420" s="22" t="s">
        <v>133</v>
      </c>
      <c r="L420" s="29">
        <v>4.0</v>
      </c>
      <c r="M420" s="22" t="s">
        <v>508</v>
      </c>
    </row>
    <row r="421" ht="15.75" customHeight="1">
      <c r="A421" s="22" t="s">
        <v>538</v>
      </c>
      <c r="B421" s="23">
        <v>46074.0</v>
      </c>
      <c r="C421" s="22" t="s">
        <v>38</v>
      </c>
      <c r="D421" s="22" t="s">
        <v>10</v>
      </c>
      <c r="E421" s="29">
        <v>318.0</v>
      </c>
      <c r="F421" s="24">
        <v>845.0</v>
      </c>
      <c r="G421" s="24">
        <v>845.0</v>
      </c>
      <c r="H421" s="24">
        <v>268710.0</v>
      </c>
      <c r="I421" s="24">
        <v>16152.14</v>
      </c>
      <c r="J421" s="24">
        <v>0.0</v>
      </c>
      <c r="K421" s="22" t="s">
        <v>116</v>
      </c>
      <c r="L421" s="29">
        <v>6.0</v>
      </c>
      <c r="M421" s="22" t="s">
        <v>508</v>
      </c>
    </row>
    <row r="422" ht="15.75" customHeight="1">
      <c r="A422" s="22" t="s">
        <v>539</v>
      </c>
      <c r="B422" s="23">
        <v>46074.0</v>
      </c>
      <c r="C422" s="22" t="s">
        <v>56</v>
      </c>
      <c r="D422" s="22" t="s">
        <v>108</v>
      </c>
      <c r="E422" s="29">
        <v>161.0</v>
      </c>
      <c r="F422" s="24">
        <v>1250.0</v>
      </c>
      <c r="G422" s="24">
        <v>1250.0</v>
      </c>
      <c r="H422" s="24">
        <v>201250.0</v>
      </c>
      <c r="I422" s="24">
        <v>2417.87</v>
      </c>
      <c r="J422" s="24">
        <v>0.0</v>
      </c>
      <c r="K422" s="22" t="s">
        <v>116</v>
      </c>
      <c r="L422" s="29">
        <v>1.0</v>
      </c>
      <c r="M422" s="22" t="s">
        <v>508</v>
      </c>
    </row>
    <row r="423" ht="15.75" customHeight="1">
      <c r="A423" s="22" t="s">
        <v>540</v>
      </c>
      <c r="B423" s="23">
        <v>46075.0</v>
      </c>
      <c r="C423" s="22" t="s">
        <v>38</v>
      </c>
      <c r="D423" s="22" t="s">
        <v>49</v>
      </c>
      <c r="E423" s="29">
        <v>115.0</v>
      </c>
      <c r="F423" s="24">
        <v>235.0</v>
      </c>
      <c r="G423" s="24">
        <v>235.0</v>
      </c>
      <c r="H423" s="24">
        <v>27025.0</v>
      </c>
      <c r="I423" s="24">
        <v>866.42</v>
      </c>
      <c r="J423" s="24">
        <v>0.0</v>
      </c>
      <c r="K423" s="22" t="s">
        <v>116</v>
      </c>
      <c r="L423" s="29">
        <v>4.0</v>
      </c>
      <c r="M423" s="22" t="s">
        <v>508</v>
      </c>
    </row>
    <row r="424" ht="15.75" customHeight="1">
      <c r="A424" s="22" t="s">
        <v>541</v>
      </c>
      <c r="B424" s="23">
        <v>46075.0</v>
      </c>
      <c r="C424" s="22" t="s">
        <v>38</v>
      </c>
      <c r="D424" s="22" t="s">
        <v>49</v>
      </c>
      <c r="E424" s="29">
        <v>203.0</v>
      </c>
      <c r="F424" s="24">
        <v>235.0</v>
      </c>
      <c r="G424" s="24">
        <v>235.0</v>
      </c>
      <c r="H424" s="24">
        <v>47705.0</v>
      </c>
      <c r="I424" s="24">
        <v>1728.22</v>
      </c>
      <c r="J424" s="24">
        <v>501.63</v>
      </c>
      <c r="K424" s="22" t="s">
        <v>133</v>
      </c>
      <c r="L424" s="29">
        <v>9.0</v>
      </c>
      <c r="M424" s="22" t="s">
        <v>508</v>
      </c>
    </row>
    <row r="425" ht="15.75" customHeight="1">
      <c r="A425" s="22" t="s">
        <v>542</v>
      </c>
      <c r="B425" s="23">
        <v>46076.0</v>
      </c>
      <c r="C425" s="22" t="s">
        <v>48</v>
      </c>
      <c r="D425" s="22" t="s">
        <v>49</v>
      </c>
      <c r="E425" s="29">
        <v>687.0</v>
      </c>
      <c r="F425" s="24">
        <v>240.0</v>
      </c>
      <c r="G425" s="24">
        <v>240.0</v>
      </c>
      <c r="H425" s="24">
        <v>164880.0</v>
      </c>
      <c r="I425" s="24">
        <v>9278.52</v>
      </c>
      <c r="J425" s="24">
        <v>1066.37</v>
      </c>
      <c r="K425" s="22" t="s">
        <v>133</v>
      </c>
      <c r="L425" s="29">
        <v>25.0</v>
      </c>
      <c r="M425" s="22" t="s">
        <v>508</v>
      </c>
    </row>
    <row r="426" ht="15.75" customHeight="1">
      <c r="A426" s="22" t="s">
        <v>543</v>
      </c>
      <c r="B426" s="23">
        <v>46076.0</v>
      </c>
      <c r="C426" s="22" t="s">
        <v>38</v>
      </c>
      <c r="D426" s="22" t="s">
        <v>108</v>
      </c>
      <c r="E426" s="29">
        <v>275.0</v>
      </c>
      <c r="F426" s="24">
        <v>1290.0</v>
      </c>
      <c r="G426" s="24">
        <v>1290.0</v>
      </c>
      <c r="H426" s="24">
        <v>354750.0</v>
      </c>
      <c r="I426" s="24">
        <v>12321.59</v>
      </c>
      <c r="J426" s="24">
        <v>5572.46</v>
      </c>
      <c r="K426" s="22" t="s">
        <v>112</v>
      </c>
      <c r="L426" s="29">
        <v>4.0</v>
      </c>
      <c r="M426" s="22" t="s">
        <v>508</v>
      </c>
    </row>
    <row r="427" ht="15.75" customHeight="1">
      <c r="A427" s="22" t="s">
        <v>544</v>
      </c>
      <c r="B427" s="23">
        <v>46077.0</v>
      </c>
      <c r="C427" s="22" t="s">
        <v>56</v>
      </c>
      <c r="D427" s="22" t="s">
        <v>49</v>
      </c>
      <c r="E427" s="29">
        <v>221.0</v>
      </c>
      <c r="F427" s="24">
        <v>230.0</v>
      </c>
      <c r="G427" s="24">
        <v>230.0</v>
      </c>
      <c r="H427" s="24">
        <v>50830.0</v>
      </c>
      <c r="I427" s="24">
        <v>1046.81</v>
      </c>
      <c r="J427" s="24">
        <v>136.13</v>
      </c>
      <c r="K427" s="22" t="s">
        <v>133</v>
      </c>
      <c r="L427" s="29">
        <v>8.0</v>
      </c>
      <c r="M427" s="22" t="s">
        <v>508</v>
      </c>
    </row>
    <row r="428" ht="15.75" customHeight="1">
      <c r="A428" s="22" t="s">
        <v>545</v>
      </c>
      <c r="B428" s="23">
        <v>46080.0</v>
      </c>
      <c r="C428" s="22" t="s">
        <v>38</v>
      </c>
      <c r="D428" s="22" t="s">
        <v>49</v>
      </c>
      <c r="E428" s="29">
        <v>269.0</v>
      </c>
      <c r="F428" s="24">
        <v>235.0</v>
      </c>
      <c r="G428" s="24">
        <v>235.0</v>
      </c>
      <c r="H428" s="24">
        <v>63215.0</v>
      </c>
      <c r="I428" s="24">
        <v>3806.34</v>
      </c>
      <c r="J428" s="24">
        <v>522.55</v>
      </c>
      <c r="K428" s="22" t="s">
        <v>109</v>
      </c>
      <c r="L428" s="29">
        <v>8.0</v>
      </c>
      <c r="M428" s="22" t="s">
        <v>508</v>
      </c>
    </row>
    <row r="429" ht="15.75" customHeight="1">
      <c r="A429" s="22" t="s">
        <v>546</v>
      </c>
      <c r="B429" s="23">
        <v>46082.0</v>
      </c>
      <c r="C429" s="22" t="s">
        <v>48</v>
      </c>
      <c r="D429" s="22" t="s">
        <v>108</v>
      </c>
      <c r="E429" s="29">
        <v>102.0</v>
      </c>
      <c r="F429" s="24">
        <v>1300.0</v>
      </c>
      <c r="G429" s="24">
        <v>1300.0</v>
      </c>
      <c r="H429" s="24">
        <v>132600.0</v>
      </c>
      <c r="I429" s="24">
        <v>6259.79</v>
      </c>
      <c r="J429" s="24">
        <v>1012.83</v>
      </c>
      <c r="K429" s="22" t="s">
        <v>114</v>
      </c>
      <c r="L429" s="29">
        <v>1.0</v>
      </c>
      <c r="M429" s="22" t="s">
        <v>7</v>
      </c>
    </row>
    <row r="430" ht="15.75" customHeight="1">
      <c r="A430" s="22" t="s">
        <v>63</v>
      </c>
      <c r="B430" s="23">
        <v>46083.0</v>
      </c>
      <c r="C430" s="22" t="s">
        <v>48</v>
      </c>
      <c r="D430" s="22" t="s">
        <v>10</v>
      </c>
      <c r="E430" s="29">
        <v>417.0</v>
      </c>
      <c r="F430" s="24">
        <v>850.0</v>
      </c>
      <c r="G430" s="24">
        <v>850.0</v>
      </c>
      <c r="H430" s="24">
        <v>354450.0</v>
      </c>
      <c r="I430" s="24">
        <v>9651.39</v>
      </c>
      <c r="J430" s="24">
        <v>0.0</v>
      </c>
      <c r="K430" s="22" t="s">
        <v>116</v>
      </c>
      <c r="L430" s="29">
        <v>39.0</v>
      </c>
      <c r="M430" s="22" t="s">
        <v>7</v>
      </c>
    </row>
    <row r="431" ht="15.75" customHeight="1">
      <c r="A431" s="22" t="s">
        <v>547</v>
      </c>
      <c r="B431" s="23">
        <v>46083.0</v>
      </c>
      <c r="C431" s="22" t="s">
        <v>38</v>
      </c>
      <c r="D431" s="22" t="s">
        <v>108</v>
      </c>
      <c r="E431" s="29">
        <v>411.0</v>
      </c>
      <c r="F431" s="24">
        <v>1290.0</v>
      </c>
      <c r="G431" s="24">
        <v>1290.0</v>
      </c>
      <c r="H431" s="24">
        <v>530190.0</v>
      </c>
      <c r="I431" s="24">
        <v>24425.4</v>
      </c>
      <c r="J431" s="24">
        <v>587.2</v>
      </c>
      <c r="K431" s="22" t="s">
        <v>133</v>
      </c>
      <c r="L431" s="29">
        <v>3.0</v>
      </c>
      <c r="M431" s="22" t="s">
        <v>7</v>
      </c>
    </row>
    <row r="432" ht="15.75" customHeight="1">
      <c r="A432" s="22" t="s">
        <v>66</v>
      </c>
      <c r="B432" s="23">
        <v>46084.0</v>
      </c>
      <c r="C432" s="22" t="s">
        <v>38</v>
      </c>
      <c r="D432" s="22" t="s">
        <v>10</v>
      </c>
      <c r="E432" s="29">
        <v>272.0</v>
      </c>
      <c r="F432" s="24">
        <v>845.0</v>
      </c>
      <c r="G432" s="24">
        <v>845.0</v>
      </c>
      <c r="H432" s="24">
        <v>229840.0</v>
      </c>
      <c r="I432" s="24">
        <v>8139.24</v>
      </c>
      <c r="J432" s="24">
        <v>1778.53</v>
      </c>
      <c r="K432" s="22" t="s">
        <v>112</v>
      </c>
      <c r="L432" s="29">
        <v>31.0</v>
      </c>
      <c r="M432" s="22" t="s">
        <v>7</v>
      </c>
    </row>
    <row r="433" ht="15.75" customHeight="1">
      <c r="A433" s="22" t="s">
        <v>77</v>
      </c>
      <c r="B433" s="23">
        <v>46084.0</v>
      </c>
      <c r="C433" s="22" t="s">
        <v>48</v>
      </c>
      <c r="D433" s="22" t="s">
        <v>10</v>
      </c>
      <c r="E433" s="29">
        <v>222.0</v>
      </c>
      <c r="F433" s="24">
        <v>850.0</v>
      </c>
      <c r="G433" s="24">
        <v>850.0</v>
      </c>
      <c r="H433" s="24">
        <v>188700.0</v>
      </c>
      <c r="I433" s="24">
        <v>7473.54</v>
      </c>
      <c r="J433" s="24">
        <v>3274.75</v>
      </c>
      <c r="K433" s="22" t="s">
        <v>109</v>
      </c>
      <c r="L433" s="29">
        <v>20.0</v>
      </c>
      <c r="M433" s="22" t="s">
        <v>7</v>
      </c>
    </row>
    <row r="434" ht="15.75" customHeight="1">
      <c r="A434" s="22" t="s">
        <v>548</v>
      </c>
      <c r="B434" s="23">
        <v>46085.0</v>
      </c>
      <c r="C434" s="22" t="s">
        <v>48</v>
      </c>
      <c r="D434" s="22" t="s">
        <v>49</v>
      </c>
      <c r="E434" s="29">
        <v>180.0</v>
      </c>
      <c r="F434" s="24">
        <v>240.0</v>
      </c>
      <c r="G434" s="24">
        <v>240.0</v>
      </c>
      <c r="H434" s="24">
        <v>43200.0</v>
      </c>
      <c r="I434" s="24">
        <v>1854.03</v>
      </c>
      <c r="J434" s="24">
        <v>523.49</v>
      </c>
      <c r="K434" s="22" t="s">
        <v>114</v>
      </c>
      <c r="L434" s="29">
        <v>8.0</v>
      </c>
      <c r="M434" s="22" t="s">
        <v>7</v>
      </c>
    </row>
    <row r="435" ht="15.75" customHeight="1">
      <c r="A435" s="22" t="s">
        <v>88</v>
      </c>
      <c r="B435" s="23">
        <v>46085.0</v>
      </c>
      <c r="C435" s="22" t="s">
        <v>38</v>
      </c>
      <c r="D435" s="22" t="s">
        <v>10</v>
      </c>
      <c r="E435" s="29">
        <v>149.0</v>
      </c>
      <c r="F435" s="24">
        <v>845.0</v>
      </c>
      <c r="G435" s="24">
        <v>845.0</v>
      </c>
      <c r="H435" s="24">
        <v>125905.0</v>
      </c>
      <c r="I435" s="24">
        <v>5871.88</v>
      </c>
      <c r="J435" s="24">
        <v>1852.84</v>
      </c>
      <c r="K435" s="22" t="s">
        <v>114</v>
      </c>
      <c r="L435" s="29">
        <v>12.0</v>
      </c>
      <c r="M435" s="22" t="s">
        <v>7</v>
      </c>
    </row>
    <row r="436" ht="15.75" customHeight="1">
      <c r="A436" s="22" t="s">
        <v>549</v>
      </c>
      <c r="B436" s="23">
        <v>46085.0</v>
      </c>
      <c r="C436" s="22" t="s">
        <v>48</v>
      </c>
      <c r="D436" s="22" t="s">
        <v>108</v>
      </c>
      <c r="E436" s="29">
        <v>340.0</v>
      </c>
      <c r="F436" s="24">
        <v>1300.0</v>
      </c>
      <c r="G436" s="24">
        <v>1300.0</v>
      </c>
      <c r="H436" s="24">
        <v>442000.0</v>
      </c>
      <c r="I436" s="24">
        <v>21146.1</v>
      </c>
      <c r="J436" s="24">
        <v>6722.84</v>
      </c>
      <c r="K436" s="22" t="s">
        <v>109</v>
      </c>
      <c r="L436" s="29">
        <v>4.0</v>
      </c>
      <c r="M436" s="22" t="s">
        <v>7</v>
      </c>
    </row>
    <row r="437" ht="15.75" customHeight="1">
      <c r="A437" s="22" t="s">
        <v>72</v>
      </c>
      <c r="B437" s="23">
        <v>46086.0</v>
      </c>
      <c r="C437" s="22" t="s">
        <v>38</v>
      </c>
      <c r="D437" s="22" t="s">
        <v>10</v>
      </c>
      <c r="E437" s="29">
        <v>271.0</v>
      </c>
      <c r="F437" s="24">
        <v>845.0</v>
      </c>
      <c r="G437" s="24">
        <v>845.0</v>
      </c>
      <c r="H437" s="24">
        <v>228995.0</v>
      </c>
      <c r="I437" s="24">
        <v>6784.04</v>
      </c>
      <c r="J437" s="24">
        <v>0.0</v>
      </c>
      <c r="K437" s="22" t="s">
        <v>116</v>
      </c>
      <c r="L437" s="29">
        <v>25.0</v>
      </c>
      <c r="M437" s="22" t="s">
        <v>7</v>
      </c>
    </row>
    <row r="438" ht="15.75" customHeight="1">
      <c r="A438" s="22" t="s">
        <v>61</v>
      </c>
      <c r="B438" s="23">
        <v>46086.0</v>
      </c>
      <c r="C438" s="22" t="s">
        <v>56</v>
      </c>
      <c r="D438" s="22" t="s">
        <v>10</v>
      </c>
      <c r="E438" s="29">
        <v>526.0</v>
      </c>
      <c r="F438" s="24">
        <v>820.0</v>
      </c>
      <c r="G438" s="24">
        <v>820.0</v>
      </c>
      <c r="H438" s="24">
        <v>431320.0</v>
      </c>
      <c r="I438" s="24">
        <v>13163.88</v>
      </c>
      <c r="J438" s="24">
        <v>1333.07</v>
      </c>
      <c r="K438" s="22" t="s">
        <v>114</v>
      </c>
      <c r="L438" s="29">
        <v>53.0</v>
      </c>
      <c r="M438" s="22" t="s">
        <v>7</v>
      </c>
    </row>
    <row r="439" ht="15.75" customHeight="1">
      <c r="A439" s="22" t="s">
        <v>550</v>
      </c>
      <c r="B439" s="23">
        <v>46087.0</v>
      </c>
      <c r="C439" s="22" t="s">
        <v>48</v>
      </c>
      <c r="D439" s="22" t="s">
        <v>49</v>
      </c>
      <c r="E439" s="29">
        <v>169.0</v>
      </c>
      <c r="F439" s="24">
        <v>240.0</v>
      </c>
      <c r="G439" s="24">
        <v>240.0</v>
      </c>
      <c r="H439" s="24">
        <v>40560.0</v>
      </c>
      <c r="I439" s="24">
        <v>1450.9</v>
      </c>
      <c r="J439" s="24">
        <v>0.0</v>
      </c>
      <c r="K439" s="22" t="s">
        <v>116</v>
      </c>
      <c r="L439" s="29">
        <v>5.0</v>
      </c>
      <c r="M439" s="22" t="s">
        <v>7</v>
      </c>
    </row>
    <row r="440" ht="15.75" customHeight="1">
      <c r="A440" s="22" t="s">
        <v>551</v>
      </c>
      <c r="B440" s="23">
        <v>46087.0</v>
      </c>
      <c r="C440" s="22" t="s">
        <v>48</v>
      </c>
      <c r="D440" s="22" t="s">
        <v>49</v>
      </c>
      <c r="E440" s="29">
        <v>379.0</v>
      </c>
      <c r="F440" s="24">
        <v>240.0</v>
      </c>
      <c r="G440" s="24">
        <v>240.0</v>
      </c>
      <c r="H440" s="24">
        <v>90960.0</v>
      </c>
      <c r="I440" s="24">
        <v>5361.12</v>
      </c>
      <c r="J440" s="24">
        <v>371.97</v>
      </c>
      <c r="K440" s="22" t="s">
        <v>109</v>
      </c>
      <c r="L440" s="29">
        <v>5.0</v>
      </c>
      <c r="M440" s="22" t="s">
        <v>7</v>
      </c>
    </row>
    <row r="441" ht="15.75" customHeight="1">
      <c r="A441" s="22" t="s">
        <v>87</v>
      </c>
      <c r="B441" s="23">
        <v>46087.0</v>
      </c>
      <c r="C441" s="22" t="s">
        <v>48</v>
      </c>
      <c r="D441" s="22" t="s">
        <v>10</v>
      </c>
      <c r="E441" s="29">
        <v>215.0</v>
      </c>
      <c r="F441" s="24">
        <v>850.0</v>
      </c>
      <c r="G441" s="24">
        <v>850.0</v>
      </c>
      <c r="H441" s="24">
        <v>182750.0</v>
      </c>
      <c r="I441" s="24">
        <v>9941.78</v>
      </c>
      <c r="J441" s="24">
        <v>730.96</v>
      </c>
      <c r="K441" s="22" t="s">
        <v>112</v>
      </c>
      <c r="L441" s="29">
        <v>14.0</v>
      </c>
      <c r="M441" s="22" t="s">
        <v>7</v>
      </c>
    </row>
    <row r="442" ht="15.75" customHeight="1">
      <c r="A442" s="22" t="s">
        <v>55</v>
      </c>
      <c r="B442" s="23">
        <v>46087.0</v>
      </c>
      <c r="C442" s="22" t="s">
        <v>56</v>
      </c>
      <c r="D442" s="22" t="s">
        <v>10</v>
      </c>
      <c r="E442" s="29">
        <v>561.0</v>
      </c>
      <c r="F442" s="24">
        <v>820.0</v>
      </c>
      <c r="G442" s="24">
        <v>820.0</v>
      </c>
      <c r="H442" s="24">
        <v>460020.0</v>
      </c>
      <c r="I442" s="24">
        <v>14379.04</v>
      </c>
      <c r="J442" s="24">
        <v>0.0</v>
      </c>
      <c r="K442" s="22" t="s">
        <v>116</v>
      </c>
      <c r="L442" s="29">
        <v>54.0</v>
      </c>
      <c r="M442" s="22" t="s">
        <v>7</v>
      </c>
    </row>
    <row r="443" ht="15.75" customHeight="1">
      <c r="A443" s="22" t="s">
        <v>552</v>
      </c>
      <c r="B443" s="23">
        <v>46087.0</v>
      </c>
      <c r="C443" s="22" t="s">
        <v>48</v>
      </c>
      <c r="D443" s="22" t="s">
        <v>49</v>
      </c>
      <c r="E443" s="29">
        <v>215.0</v>
      </c>
      <c r="F443" s="24">
        <v>240.0</v>
      </c>
      <c r="G443" s="24">
        <v>240.0</v>
      </c>
      <c r="H443" s="24">
        <v>51600.0</v>
      </c>
      <c r="I443" s="24">
        <v>2313.41</v>
      </c>
      <c r="J443" s="24">
        <v>778.03</v>
      </c>
      <c r="K443" s="22" t="s">
        <v>114</v>
      </c>
      <c r="L443" s="29">
        <v>6.0</v>
      </c>
      <c r="M443" s="22" t="s">
        <v>7</v>
      </c>
    </row>
    <row r="444" ht="15.75" customHeight="1">
      <c r="A444" s="22" t="s">
        <v>553</v>
      </c>
      <c r="B444" s="23">
        <v>46088.0</v>
      </c>
      <c r="C444" s="22" t="s">
        <v>38</v>
      </c>
      <c r="D444" s="22" t="s">
        <v>49</v>
      </c>
      <c r="E444" s="29">
        <v>228.0</v>
      </c>
      <c r="F444" s="24">
        <v>235.0</v>
      </c>
      <c r="G444" s="24">
        <v>235.0</v>
      </c>
      <c r="H444" s="24">
        <v>53580.0</v>
      </c>
      <c r="I444" s="24">
        <v>3589.7</v>
      </c>
      <c r="J444" s="24">
        <v>0.0</v>
      </c>
      <c r="K444" s="22" t="s">
        <v>116</v>
      </c>
      <c r="L444" s="29">
        <v>5.0</v>
      </c>
      <c r="M444" s="22" t="s">
        <v>7</v>
      </c>
    </row>
    <row r="445" ht="15.75" customHeight="1">
      <c r="A445" s="22" t="s">
        <v>91</v>
      </c>
      <c r="B445" s="23">
        <v>46089.0</v>
      </c>
      <c r="C445" s="22" t="s">
        <v>56</v>
      </c>
      <c r="D445" s="22" t="s">
        <v>10</v>
      </c>
      <c r="E445" s="29">
        <v>162.0</v>
      </c>
      <c r="F445" s="24">
        <v>820.0</v>
      </c>
      <c r="G445" s="24">
        <v>820.0</v>
      </c>
      <c r="H445" s="24">
        <v>132840.0</v>
      </c>
      <c r="I445" s="24">
        <v>2010.63</v>
      </c>
      <c r="J445" s="24">
        <v>1369.31</v>
      </c>
      <c r="K445" s="22" t="s">
        <v>114</v>
      </c>
      <c r="L445" s="29">
        <v>12.0</v>
      </c>
      <c r="M445" s="22" t="s">
        <v>7</v>
      </c>
    </row>
    <row r="446" ht="15.75" customHeight="1">
      <c r="A446" s="22" t="s">
        <v>554</v>
      </c>
      <c r="B446" s="23">
        <v>46089.0</v>
      </c>
      <c r="C446" s="22" t="s">
        <v>38</v>
      </c>
      <c r="D446" s="22" t="s">
        <v>49</v>
      </c>
      <c r="E446" s="29">
        <v>336.0</v>
      </c>
      <c r="F446" s="24">
        <v>235.0</v>
      </c>
      <c r="G446" s="24">
        <v>235.0</v>
      </c>
      <c r="H446" s="24">
        <v>78960.0</v>
      </c>
      <c r="I446" s="24">
        <v>5744.69</v>
      </c>
      <c r="J446" s="24">
        <v>459.02</v>
      </c>
      <c r="K446" s="22" t="s">
        <v>109</v>
      </c>
      <c r="L446" s="29">
        <v>13.0</v>
      </c>
      <c r="M446" s="22" t="s">
        <v>7</v>
      </c>
    </row>
    <row r="447" ht="15.75" customHeight="1">
      <c r="A447" s="22" t="s">
        <v>555</v>
      </c>
      <c r="B447" s="23">
        <v>46091.0</v>
      </c>
      <c r="C447" s="22" t="s">
        <v>38</v>
      </c>
      <c r="D447" s="22" t="s">
        <v>108</v>
      </c>
      <c r="E447" s="29">
        <v>331.0</v>
      </c>
      <c r="F447" s="24">
        <v>1290.0</v>
      </c>
      <c r="G447" s="24">
        <v>1290.0</v>
      </c>
      <c r="H447" s="24">
        <v>426990.0</v>
      </c>
      <c r="I447" s="24">
        <v>27691.43</v>
      </c>
      <c r="J447" s="24">
        <v>5921.46</v>
      </c>
      <c r="K447" s="22" t="s">
        <v>114</v>
      </c>
      <c r="L447" s="29">
        <v>5.0</v>
      </c>
      <c r="M447" s="22" t="s">
        <v>7</v>
      </c>
    </row>
    <row r="448" ht="15.75" customHeight="1">
      <c r="A448" s="22" t="s">
        <v>556</v>
      </c>
      <c r="B448" s="23">
        <v>46092.0</v>
      </c>
      <c r="C448" s="22" t="s">
        <v>56</v>
      </c>
      <c r="D448" s="22" t="s">
        <v>49</v>
      </c>
      <c r="E448" s="29">
        <v>180.0</v>
      </c>
      <c r="F448" s="24">
        <v>230.0</v>
      </c>
      <c r="G448" s="24">
        <v>230.0</v>
      </c>
      <c r="H448" s="24">
        <v>41400.0</v>
      </c>
      <c r="I448" s="24">
        <v>461.89</v>
      </c>
      <c r="J448" s="24">
        <v>431.56</v>
      </c>
      <c r="K448" s="22" t="s">
        <v>112</v>
      </c>
      <c r="L448" s="29">
        <v>5.0</v>
      </c>
      <c r="M448" s="22" t="s">
        <v>7</v>
      </c>
    </row>
    <row r="449" ht="15.75" customHeight="1">
      <c r="A449" s="22" t="s">
        <v>92</v>
      </c>
      <c r="B449" s="23">
        <v>46092.0</v>
      </c>
      <c r="C449" s="22" t="s">
        <v>38</v>
      </c>
      <c r="D449" s="22" t="s">
        <v>10</v>
      </c>
      <c r="E449" s="29">
        <v>104.0</v>
      </c>
      <c r="F449" s="24">
        <v>845.0</v>
      </c>
      <c r="G449" s="24">
        <v>845.0</v>
      </c>
      <c r="H449" s="24">
        <v>87880.0</v>
      </c>
      <c r="I449" s="24">
        <v>4732.64</v>
      </c>
      <c r="J449" s="24">
        <v>0.0</v>
      </c>
      <c r="K449" s="22" t="s">
        <v>116</v>
      </c>
      <c r="L449" s="29">
        <v>9.0</v>
      </c>
      <c r="M449" s="22" t="s">
        <v>7</v>
      </c>
    </row>
    <row r="450" ht="15.75" customHeight="1">
      <c r="A450" s="22" t="s">
        <v>557</v>
      </c>
      <c r="B450" s="23">
        <v>46092.0</v>
      </c>
      <c r="C450" s="22" t="s">
        <v>48</v>
      </c>
      <c r="D450" s="22" t="s">
        <v>49</v>
      </c>
      <c r="E450" s="29">
        <v>158.0</v>
      </c>
      <c r="F450" s="24">
        <v>240.0</v>
      </c>
      <c r="G450" s="24">
        <v>240.0</v>
      </c>
      <c r="H450" s="24">
        <v>37920.0</v>
      </c>
      <c r="I450" s="24">
        <v>2265.65</v>
      </c>
      <c r="J450" s="24">
        <v>92.29</v>
      </c>
      <c r="K450" s="22" t="s">
        <v>133</v>
      </c>
      <c r="L450" s="29">
        <v>2.0</v>
      </c>
      <c r="M450" s="22" t="s">
        <v>7</v>
      </c>
    </row>
    <row r="451" ht="15.75" customHeight="1">
      <c r="A451" s="22" t="s">
        <v>558</v>
      </c>
      <c r="B451" s="23">
        <v>46092.0</v>
      </c>
      <c r="C451" s="22" t="s">
        <v>38</v>
      </c>
      <c r="D451" s="22" t="s">
        <v>49</v>
      </c>
      <c r="E451" s="29">
        <v>290.0</v>
      </c>
      <c r="F451" s="24">
        <v>235.0</v>
      </c>
      <c r="G451" s="24">
        <v>235.0</v>
      </c>
      <c r="H451" s="24">
        <v>68150.0</v>
      </c>
      <c r="I451" s="24">
        <v>3030.36</v>
      </c>
      <c r="J451" s="24">
        <v>685.7</v>
      </c>
      <c r="K451" s="22" t="s">
        <v>109</v>
      </c>
      <c r="L451" s="29">
        <v>10.0</v>
      </c>
      <c r="M451" s="22" t="s">
        <v>7</v>
      </c>
    </row>
    <row r="452" ht="15.75" customHeight="1">
      <c r="A452" s="22" t="s">
        <v>559</v>
      </c>
      <c r="B452" s="23">
        <v>46093.0</v>
      </c>
      <c r="C452" s="22" t="s">
        <v>38</v>
      </c>
      <c r="D452" s="22" t="s">
        <v>49</v>
      </c>
      <c r="E452" s="29">
        <v>873.0</v>
      </c>
      <c r="F452" s="24">
        <v>235.0</v>
      </c>
      <c r="G452" s="24">
        <v>235.0</v>
      </c>
      <c r="H452" s="24">
        <v>205155.0</v>
      </c>
      <c r="I452" s="24">
        <v>8055.69</v>
      </c>
      <c r="J452" s="24">
        <v>0.0</v>
      </c>
      <c r="K452" s="22" t="s">
        <v>116</v>
      </c>
      <c r="L452" s="29">
        <v>20.0</v>
      </c>
      <c r="M452" s="22" t="s">
        <v>7</v>
      </c>
    </row>
    <row r="453" ht="15.75" customHeight="1">
      <c r="A453" s="22" t="s">
        <v>78</v>
      </c>
      <c r="B453" s="23">
        <v>46094.0</v>
      </c>
      <c r="C453" s="22" t="s">
        <v>38</v>
      </c>
      <c r="D453" s="22" t="s">
        <v>10</v>
      </c>
      <c r="E453" s="29">
        <v>199.0</v>
      </c>
      <c r="F453" s="24">
        <v>845.0</v>
      </c>
      <c r="G453" s="24">
        <v>845.0</v>
      </c>
      <c r="H453" s="24">
        <v>168155.0</v>
      </c>
      <c r="I453" s="24">
        <v>9166.05</v>
      </c>
      <c r="J453" s="24">
        <v>2449.46</v>
      </c>
      <c r="K453" s="22" t="s">
        <v>109</v>
      </c>
      <c r="L453" s="29">
        <v>19.0</v>
      </c>
      <c r="M453" s="22" t="s">
        <v>7</v>
      </c>
    </row>
    <row r="454" ht="15.75" customHeight="1">
      <c r="A454" s="22" t="s">
        <v>560</v>
      </c>
      <c r="B454" s="23">
        <v>46094.0</v>
      </c>
      <c r="C454" s="22" t="s">
        <v>48</v>
      </c>
      <c r="D454" s="22" t="s">
        <v>49</v>
      </c>
      <c r="E454" s="29">
        <v>505.0</v>
      </c>
      <c r="F454" s="24">
        <v>240.0</v>
      </c>
      <c r="G454" s="24">
        <v>240.0</v>
      </c>
      <c r="H454" s="24">
        <v>121200.0</v>
      </c>
      <c r="I454" s="24">
        <v>6140.7</v>
      </c>
      <c r="J454" s="24">
        <v>939.09</v>
      </c>
      <c r="K454" s="22" t="s">
        <v>133</v>
      </c>
      <c r="L454" s="29">
        <v>19.0</v>
      </c>
      <c r="M454" s="22" t="s">
        <v>7</v>
      </c>
    </row>
    <row r="455" ht="15.75" customHeight="1">
      <c r="A455" s="22" t="s">
        <v>561</v>
      </c>
      <c r="B455" s="23">
        <v>46095.0</v>
      </c>
      <c r="C455" s="22" t="s">
        <v>38</v>
      </c>
      <c r="D455" s="22" t="s">
        <v>49</v>
      </c>
      <c r="E455" s="29">
        <v>119.0</v>
      </c>
      <c r="F455" s="24">
        <v>235.0</v>
      </c>
      <c r="G455" s="24">
        <v>235.0</v>
      </c>
      <c r="H455" s="24">
        <v>27965.0</v>
      </c>
      <c r="I455" s="24">
        <v>869.3</v>
      </c>
      <c r="J455" s="24">
        <v>55.92</v>
      </c>
      <c r="K455" s="22" t="s">
        <v>109</v>
      </c>
      <c r="L455" s="29">
        <v>5.0</v>
      </c>
      <c r="M455" s="22" t="s">
        <v>7</v>
      </c>
    </row>
    <row r="456" ht="15.75" customHeight="1">
      <c r="A456" s="22" t="s">
        <v>74</v>
      </c>
      <c r="B456" s="23">
        <v>46095.0</v>
      </c>
      <c r="C456" s="22" t="s">
        <v>56</v>
      </c>
      <c r="D456" s="22" t="s">
        <v>10</v>
      </c>
      <c r="E456" s="29">
        <v>373.0</v>
      </c>
      <c r="F456" s="24">
        <v>820.0</v>
      </c>
      <c r="G456" s="24">
        <v>820.0</v>
      </c>
      <c r="H456" s="24">
        <v>305860.0</v>
      </c>
      <c r="I456" s="24">
        <v>3627.36</v>
      </c>
      <c r="J456" s="24">
        <v>3132.85</v>
      </c>
      <c r="K456" s="22" t="s">
        <v>114</v>
      </c>
      <c r="L456" s="29">
        <v>28.0</v>
      </c>
      <c r="M456" s="22" t="s">
        <v>7</v>
      </c>
    </row>
    <row r="457" ht="15.75" customHeight="1">
      <c r="A457" s="22" t="s">
        <v>75</v>
      </c>
      <c r="B457" s="23">
        <v>46095.0</v>
      </c>
      <c r="C457" s="22" t="s">
        <v>48</v>
      </c>
      <c r="D457" s="22" t="s">
        <v>10</v>
      </c>
      <c r="E457" s="29">
        <v>233.0</v>
      </c>
      <c r="F457" s="24">
        <v>850.0</v>
      </c>
      <c r="G457" s="24">
        <v>850.0</v>
      </c>
      <c r="H457" s="24">
        <v>198050.0</v>
      </c>
      <c r="I457" s="24">
        <v>10241.22</v>
      </c>
      <c r="J457" s="24">
        <v>0.0</v>
      </c>
      <c r="K457" s="22" t="s">
        <v>116</v>
      </c>
      <c r="L457" s="29">
        <v>22.0</v>
      </c>
      <c r="M457" s="22" t="s">
        <v>7</v>
      </c>
    </row>
    <row r="458" ht="15.75" customHeight="1">
      <c r="A458" s="22" t="s">
        <v>95</v>
      </c>
      <c r="B458" s="23">
        <v>46095.0</v>
      </c>
      <c r="C458" s="22" t="s">
        <v>38</v>
      </c>
      <c r="D458" s="22" t="s">
        <v>10</v>
      </c>
      <c r="E458" s="29">
        <v>130.0</v>
      </c>
      <c r="F458" s="24">
        <v>845.0</v>
      </c>
      <c r="G458" s="24">
        <v>845.0</v>
      </c>
      <c r="H458" s="24">
        <v>109850.0</v>
      </c>
      <c r="I458" s="24">
        <v>7934.46</v>
      </c>
      <c r="J458" s="24">
        <v>1747.93</v>
      </c>
      <c r="K458" s="22" t="s">
        <v>114</v>
      </c>
      <c r="L458" s="29">
        <v>8.0</v>
      </c>
      <c r="M458" s="22" t="s">
        <v>7</v>
      </c>
    </row>
    <row r="459" ht="15.75" customHeight="1">
      <c r="A459" s="22" t="s">
        <v>80</v>
      </c>
      <c r="B459" s="23">
        <v>46097.0</v>
      </c>
      <c r="C459" s="22" t="s">
        <v>48</v>
      </c>
      <c r="D459" s="22" t="s">
        <v>10</v>
      </c>
      <c r="E459" s="29">
        <v>208.0</v>
      </c>
      <c r="F459" s="24">
        <v>850.0</v>
      </c>
      <c r="G459" s="24">
        <v>850.0</v>
      </c>
      <c r="H459" s="24">
        <v>176800.0</v>
      </c>
      <c r="I459" s="24">
        <v>3232.95</v>
      </c>
      <c r="J459" s="24">
        <v>2255.34</v>
      </c>
      <c r="K459" s="22" t="s">
        <v>114</v>
      </c>
      <c r="L459" s="29">
        <v>17.0</v>
      </c>
      <c r="M459" s="22" t="s">
        <v>7</v>
      </c>
    </row>
    <row r="460" ht="15.75" customHeight="1">
      <c r="A460" s="22" t="s">
        <v>562</v>
      </c>
      <c r="B460" s="23">
        <v>46097.0</v>
      </c>
      <c r="C460" s="22" t="s">
        <v>48</v>
      </c>
      <c r="D460" s="22" t="s">
        <v>108</v>
      </c>
      <c r="E460" s="29">
        <v>478.0</v>
      </c>
      <c r="F460" s="24">
        <v>1300.0</v>
      </c>
      <c r="G460" s="24">
        <v>1300.0</v>
      </c>
      <c r="H460" s="24">
        <v>621400.0</v>
      </c>
      <c r="I460" s="24">
        <v>16580.37</v>
      </c>
      <c r="J460" s="24">
        <v>7587.88</v>
      </c>
      <c r="K460" s="22" t="s">
        <v>112</v>
      </c>
      <c r="L460" s="29">
        <v>9.0</v>
      </c>
      <c r="M460" s="22" t="s">
        <v>7</v>
      </c>
    </row>
    <row r="461" ht="15.75" customHeight="1">
      <c r="A461" s="22" t="s">
        <v>563</v>
      </c>
      <c r="B461" s="23">
        <v>46097.0</v>
      </c>
      <c r="C461" s="22" t="s">
        <v>48</v>
      </c>
      <c r="D461" s="22" t="s">
        <v>108</v>
      </c>
      <c r="E461" s="29">
        <v>163.0</v>
      </c>
      <c r="F461" s="24">
        <v>1300.0</v>
      </c>
      <c r="G461" s="24">
        <v>1300.0</v>
      </c>
      <c r="H461" s="24">
        <v>211900.0</v>
      </c>
      <c r="I461" s="24">
        <v>4757.46</v>
      </c>
      <c r="J461" s="24">
        <v>1234.97</v>
      </c>
      <c r="K461" s="22" t="s">
        <v>112</v>
      </c>
      <c r="L461" s="29">
        <v>1.0</v>
      </c>
      <c r="M461" s="22" t="s">
        <v>7</v>
      </c>
    </row>
    <row r="462" ht="15.75" customHeight="1">
      <c r="A462" s="22" t="s">
        <v>94</v>
      </c>
      <c r="B462" s="23">
        <v>46098.0</v>
      </c>
      <c r="C462" s="22" t="s">
        <v>38</v>
      </c>
      <c r="D462" s="22" t="s">
        <v>10</v>
      </c>
      <c r="E462" s="29">
        <v>127.0</v>
      </c>
      <c r="F462" s="24">
        <v>845.0</v>
      </c>
      <c r="G462" s="24">
        <v>845.0</v>
      </c>
      <c r="H462" s="24">
        <v>107315.0</v>
      </c>
      <c r="I462" s="24">
        <v>3147.91</v>
      </c>
      <c r="J462" s="24">
        <v>463.51</v>
      </c>
      <c r="K462" s="22" t="s">
        <v>114</v>
      </c>
      <c r="L462" s="29">
        <v>8.0</v>
      </c>
      <c r="M462" s="22" t="s">
        <v>7</v>
      </c>
    </row>
    <row r="463" ht="15.75" customHeight="1">
      <c r="A463" s="22" t="s">
        <v>89</v>
      </c>
      <c r="B463" s="23">
        <v>46098.0</v>
      </c>
      <c r="C463" s="22" t="s">
        <v>38</v>
      </c>
      <c r="D463" s="22" t="s">
        <v>10</v>
      </c>
      <c r="E463" s="29">
        <v>137.0</v>
      </c>
      <c r="F463" s="24">
        <v>845.0</v>
      </c>
      <c r="G463" s="24">
        <v>845.0</v>
      </c>
      <c r="H463" s="24">
        <v>115765.0</v>
      </c>
      <c r="I463" s="24">
        <v>5318.03</v>
      </c>
      <c r="J463" s="24">
        <v>1917.04</v>
      </c>
      <c r="K463" s="22" t="s">
        <v>112</v>
      </c>
      <c r="L463" s="29">
        <v>11.0</v>
      </c>
      <c r="M463" s="22" t="s">
        <v>7</v>
      </c>
    </row>
    <row r="464" ht="15.75" customHeight="1">
      <c r="A464" s="22" t="s">
        <v>564</v>
      </c>
      <c r="B464" s="23">
        <v>46099.0</v>
      </c>
      <c r="C464" s="22" t="s">
        <v>48</v>
      </c>
      <c r="D464" s="22" t="s">
        <v>49</v>
      </c>
      <c r="E464" s="29">
        <v>159.0</v>
      </c>
      <c r="F464" s="24">
        <v>240.0</v>
      </c>
      <c r="G464" s="24">
        <v>240.0</v>
      </c>
      <c r="H464" s="24">
        <v>38160.0</v>
      </c>
      <c r="I464" s="24">
        <v>948.07</v>
      </c>
      <c r="J464" s="24">
        <v>374.8</v>
      </c>
      <c r="K464" s="22" t="s">
        <v>109</v>
      </c>
      <c r="L464" s="29">
        <v>4.0</v>
      </c>
      <c r="M464" s="22" t="s">
        <v>7</v>
      </c>
    </row>
    <row r="465" ht="15.75" customHeight="1">
      <c r="A465" s="22" t="s">
        <v>65</v>
      </c>
      <c r="B465" s="23">
        <v>46100.0</v>
      </c>
      <c r="C465" s="22" t="s">
        <v>38</v>
      </c>
      <c r="D465" s="22" t="s">
        <v>10</v>
      </c>
      <c r="E465" s="29">
        <v>255.0</v>
      </c>
      <c r="F465" s="24">
        <v>845.0</v>
      </c>
      <c r="G465" s="24">
        <v>845.0</v>
      </c>
      <c r="H465" s="24">
        <v>215475.0</v>
      </c>
      <c r="I465" s="24">
        <v>6170.26</v>
      </c>
      <c r="J465" s="24">
        <v>3138.64</v>
      </c>
      <c r="K465" s="22" t="s">
        <v>114</v>
      </c>
      <c r="L465" s="29">
        <v>32.0</v>
      </c>
      <c r="M465" s="22" t="s">
        <v>7</v>
      </c>
    </row>
    <row r="466" ht="15.75" customHeight="1">
      <c r="A466" s="22" t="s">
        <v>68</v>
      </c>
      <c r="B466" s="23">
        <v>46100.0</v>
      </c>
      <c r="C466" s="22" t="s">
        <v>48</v>
      </c>
      <c r="D466" s="22" t="s">
        <v>10</v>
      </c>
      <c r="E466" s="29">
        <v>472.0</v>
      </c>
      <c r="F466" s="24">
        <v>850.0</v>
      </c>
      <c r="G466" s="24">
        <v>850.0</v>
      </c>
      <c r="H466" s="24">
        <v>401200.0</v>
      </c>
      <c r="I466" s="24">
        <v>16932.23</v>
      </c>
      <c r="J466" s="24">
        <v>2962.98</v>
      </c>
      <c r="K466" s="22" t="s">
        <v>133</v>
      </c>
      <c r="L466" s="29">
        <v>33.0</v>
      </c>
      <c r="M466" s="22" t="s">
        <v>7</v>
      </c>
    </row>
    <row r="467" ht="15.75" customHeight="1">
      <c r="A467" s="22" t="s">
        <v>96</v>
      </c>
      <c r="B467" s="23">
        <v>46100.0</v>
      </c>
      <c r="C467" s="22" t="s">
        <v>48</v>
      </c>
      <c r="D467" s="22" t="s">
        <v>10</v>
      </c>
      <c r="E467" s="29">
        <v>58.0</v>
      </c>
      <c r="F467" s="24">
        <v>850.0</v>
      </c>
      <c r="G467" s="24">
        <v>850.0</v>
      </c>
      <c r="H467" s="24">
        <v>49300.0</v>
      </c>
      <c r="I467" s="24">
        <v>1115.6</v>
      </c>
      <c r="J467" s="24">
        <v>0.0</v>
      </c>
      <c r="K467" s="22" t="s">
        <v>116</v>
      </c>
      <c r="L467" s="29">
        <v>6.0</v>
      </c>
      <c r="M467" s="22" t="s">
        <v>7</v>
      </c>
    </row>
    <row r="468" ht="15.75" customHeight="1">
      <c r="A468" s="22" t="s">
        <v>86</v>
      </c>
      <c r="B468" s="23">
        <v>46101.0</v>
      </c>
      <c r="C468" s="22" t="s">
        <v>38</v>
      </c>
      <c r="D468" s="22" t="s">
        <v>10</v>
      </c>
      <c r="E468" s="29">
        <v>240.0</v>
      </c>
      <c r="F468" s="24">
        <v>845.0</v>
      </c>
      <c r="G468" s="24">
        <v>845.0</v>
      </c>
      <c r="H468" s="24">
        <v>202800.0</v>
      </c>
      <c r="I468" s="24">
        <v>9751.91</v>
      </c>
      <c r="J468" s="24">
        <v>0.0</v>
      </c>
      <c r="K468" s="22" t="s">
        <v>116</v>
      </c>
      <c r="L468" s="29">
        <v>15.0</v>
      </c>
      <c r="M468" s="22" t="s">
        <v>7</v>
      </c>
    </row>
    <row r="469" ht="15.75" customHeight="1">
      <c r="A469" s="22" t="s">
        <v>81</v>
      </c>
      <c r="B469" s="23">
        <v>46101.0</v>
      </c>
      <c r="C469" s="22" t="s">
        <v>38</v>
      </c>
      <c r="D469" s="22" t="s">
        <v>10</v>
      </c>
      <c r="E469" s="29">
        <v>159.0</v>
      </c>
      <c r="F469" s="24">
        <v>845.0</v>
      </c>
      <c r="G469" s="24">
        <v>845.0</v>
      </c>
      <c r="H469" s="24">
        <v>134355.0</v>
      </c>
      <c r="I469" s="24">
        <v>5489.7</v>
      </c>
      <c r="J469" s="24">
        <v>0.0</v>
      </c>
      <c r="K469" s="22" t="s">
        <v>116</v>
      </c>
      <c r="L469" s="29">
        <v>15.0</v>
      </c>
      <c r="M469" s="22" t="s">
        <v>7</v>
      </c>
    </row>
    <row r="470" ht="15.75" customHeight="1">
      <c r="A470" s="22" t="s">
        <v>64</v>
      </c>
      <c r="B470" s="23">
        <v>46101.0</v>
      </c>
      <c r="C470" s="22" t="s">
        <v>48</v>
      </c>
      <c r="D470" s="22" t="s">
        <v>10</v>
      </c>
      <c r="E470" s="29">
        <v>458.0</v>
      </c>
      <c r="F470" s="24">
        <v>850.0</v>
      </c>
      <c r="G470" s="24">
        <v>850.0</v>
      </c>
      <c r="H470" s="24">
        <v>389300.0</v>
      </c>
      <c r="I470" s="24">
        <v>21678.56</v>
      </c>
      <c r="J470" s="24">
        <v>2851.26</v>
      </c>
      <c r="K470" s="22" t="s">
        <v>112</v>
      </c>
      <c r="L470" s="29">
        <v>36.0</v>
      </c>
      <c r="M470" s="22" t="s">
        <v>7</v>
      </c>
    </row>
    <row r="471" ht="15.75" customHeight="1">
      <c r="A471" s="22" t="s">
        <v>565</v>
      </c>
      <c r="B471" s="23">
        <v>46102.0</v>
      </c>
      <c r="C471" s="22" t="s">
        <v>38</v>
      </c>
      <c r="D471" s="22" t="s">
        <v>49</v>
      </c>
      <c r="E471" s="29">
        <v>451.0</v>
      </c>
      <c r="F471" s="24">
        <v>235.0</v>
      </c>
      <c r="G471" s="24">
        <v>235.0</v>
      </c>
      <c r="H471" s="24">
        <v>105985.0</v>
      </c>
      <c r="I471" s="24">
        <v>3847.39</v>
      </c>
      <c r="J471" s="24">
        <v>0.0</v>
      </c>
      <c r="K471" s="22" t="s">
        <v>116</v>
      </c>
      <c r="L471" s="29">
        <v>8.0</v>
      </c>
      <c r="M471" s="22" t="s">
        <v>7</v>
      </c>
    </row>
    <row r="472" ht="15.75" customHeight="1">
      <c r="A472" s="22" t="s">
        <v>566</v>
      </c>
      <c r="B472" s="23">
        <v>46102.0</v>
      </c>
      <c r="C472" s="22" t="s">
        <v>48</v>
      </c>
      <c r="D472" s="22" t="s">
        <v>49</v>
      </c>
      <c r="E472" s="29">
        <v>210.0</v>
      </c>
      <c r="F472" s="24">
        <v>240.0</v>
      </c>
      <c r="G472" s="24">
        <v>240.0</v>
      </c>
      <c r="H472" s="24">
        <v>50400.0</v>
      </c>
      <c r="I472" s="24">
        <v>1049.53</v>
      </c>
      <c r="J472" s="24">
        <v>377.14</v>
      </c>
      <c r="K472" s="22" t="s">
        <v>133</v>
      </c>
      <c r="L472" s="29">
        <v>6.0</v>
      </c>
      <c r="M472" s="22" t="s">
        <v>7</v>
      </c>
    </row>
    <row r="473" ht="15.75" customHeight="1">
      <c r="A473" s="22" t="s">
        <v>567</v>
      </c>
      <c r="B473" s="23">
        <v>46102.0</v>
      </c>
      <c r="C473" s="22" t="s">
        <v>48</v>
      </c>
      <c r="D473" s="22" t="s">
        <v>49</v>
      </c>
      <c r="E473" s="29">
        <v>63.0</v>
      </c>
      <c r="F473" s="24">
        <v>240.0</v>
      </c>
      <c r="G473" s="24">
        <v>240.0</v>
      </c>
      <c r="H473" s="24">
        <v>15120.0</v>
      </c>
      <c r="I473" s="24">
        <v>676.62</v>
      </c>
      <c r="J473" s="24">
        <v>150.83</v>
      </c>
      <c r="K473" s="22" t="s">
        <v>133</v>
      </c>
      <c r="L473" s="29">
        <v>1.0</v>
      </c>
      <c r="M473" s="22" t="s">
        <v>7</v>
      </c>
    </row>
    <row r="474" ht="15.75" customHeight="1">
      <c r="A474" s="22" t="s">
        <v>568</v>
      </c>
      <c r="B474" s="23">
        <v>46102.0</v>
      </c>
      <c r="C474" s="22" t="s">
        <v>48</v>
      </c>
      <c r="D474" s="22" t="s">
        <v>108</v>
      </c>
      <c r="E474" s="29">
        <v>132.0</v>
      </c>
      <c r="F474" s="24">
        <v>1300.0</v>
      </c>
      <c r="G474" s="24">
        <v>1300.0</v>
      </c>
      <c r="H474" s="24">
        <v>171600.0</v>
      </c>
      <c r="I474" s="24">
        <v>8970.92</v>
      </c>
      <c r="J474" s="24">
        <v>1381.52</v>
      </c>
      <c r="K474" s="22" t="s">
        <v>133</v>
      </c>
      <c r="L474" s="29">
        <v>5.0</v>
      </c>
      <c r="M474" s="22" t="s">
        <v>7</v>
      </c>
    </row>
    <row r="475" ht="15.75" customHeight="1">
      <c r="A475" s="22" t="s">
        <v>79</v>
      </c>
      <c r="B475" s="23">
        <v>46102.0</v>
      </c>
      <c r="C475" s="22" t="s">
        <v>48</v>
      </c>
      <c r="D475" s="22" t="s">
        <v>10</v>
      </c>
      <c r="E475" s="29">
        <v>196.0</v>
      </c>
      <c r="F475" s="24">
        <v>850.0</v>
      </c>
      <c r="G475" s="24">
        <v>850.0</v>
      </c>
      <c r="H475" s="24">
        <v>166600.0</v>
      </c>
      <c r="I475" s="24">
        <v>7492.87</v>
      </c>
      <c r="J475" s="24">
        <v>833.51</v>
      </c>
      <c r="K475" s="22" t="s">
        <v>133</v>
      </c>
      <c r="L475" s="29">
        <v>18.0</v>
      </c>
      <c r="M475" s="22" t="s">
        <v>7</v>
      </c>
    </row>
    <row r="476" ht="15.75" customHeight="1">
      <c r="A476" s="22" t="s">
        <v>569</v>
      </c>
      <c r="B476" s="23">
        <v>46103.0</v>
      </c>
      <c r="C476" s="22" t="s">
        <v>48</v>
      </c>
      <c r="D476" s="22" t="s">
        <v>49</v>
      </c>
      <c r="E476" s="29">
        <v>380.0</v>
      </c>
      <c r="F476" s="24">
        <v>240.0</v>
      </c>
      <c r="G476" s="24">
        <v>240.0</v>
      </c>
      <c r="H476" s="24">
        <v>91200.0</v>
      </c>
      <c r="I476" s="24">
        <v>3448.16</v>
      </c>
      <c r="J476" s="24">
        <v>922.71</v>
      </c>
      <c r="K476" s="22" t="s">
        <v>112</v>
      </c>
      <c r="L476" s="29">
        <v>15.0</v>
      </c>
      <c r="M476" s="22" t="s">
        <v>7</v>
      </c>
    </row>
    <row r="477" ht="15.75" customHeight="1">
      <c r="A477" s="22" t="s">
        <v>570</v>
      </c>
      <c r="B477" s="23">
        <v>46104.0</v>
      </c>
      <c r="C477" s="22" t="s">
        <v>56</v>
      </c>
      <c r="D477" s="22" t="s">
        <v>108</v>
      </c>
      <c r="E477" s="29">
        <v>226.0</v>
      </c>
      <c r="F477" s="24">
        <v>1250.0</v>
      </c>
      <c r="G477" s="24">
        <v>1250.0</v>
      </c>
      <c r="H477" s="24">
        <v>282500.0</v>
      </c>
      <c r="I477" s="24">
        <v>8965.52</v>
      </c>
      <c r="J477" s="24">
        <v>0.0</v>
      </c>
      <c r="K477" s="22" t="s">
        <v>116</v>
      </c>
      <c r="L477" s="29">
        <v>7.0</v>
      </c>
      <c r="M477" s="22" t="s">
        <v>7</v>
      </c>
    </row>
    <row r="478" ht="15.75" customHeight="1">
      <c r="A478" s="22" t="s">
        <v>571</v>
      </c>
      <c r="B478" s="23">
        <v>46104.0</v>
      </c>
      <c r="C478" s="22" t="s">
        <v>48</v>
      </c>
      <c r="D478" s="22" t="s">
        <v>49</v>
      </c>
      <c r="E478" s="29">
        <v>161.0</v>
      </c>
      <c r="F478" s="24">
        <v>240.0</v>
      </c>
      <c r="G478" s="24">
        <v>240.0</v>
      </c>
      <c r="H478" s="24">
        <v>38640.0</v>
      </c>
      <c r="I478" s="24">
        <v>1108.54</v>
      </c>
      <c r="J478" s="24">
        <v>383.45</v>
      </c>
      <c r="K478" s="22" t="s">
        <v>109</v>
      </c>
      <c r="L478" s="29">
        <v>7.0</v>
      </c>
      <c r="M478" s="22" t="s">
        <v>7</v>
      </c>
    </row>
    <row r="479" ht="15.75" customHeight="1">
      <c r="A479" s="22" t="s">
        <v>70</v>
      </c>
      <c r="B479" s="23">
        <v>46104.0</v>
      </c>
      <c r="C479" s="22" t="s">
        <v>56</v>
      </c>
      <c r="D479" s="22" t="s">
        <v>10</v>
      </c>
      <c r="E479" s="29">
        <v>272.0</v>
      </c>
      <c r="F479" s="24">
        <v>820.0</v>
      </c>
      <c r="G479" s="24">
        <v>820.0</v>
      </c>
      <c r="H479" s="24">
        <v>223040.0</v>
      </c>
      <c r="I479" s="24">
        <v>4423.76</v>
      </c>
      <c r="J479" s="24">
        <v>1434.82</v>
      </c>
      <c r="K479" s="22" t="s">
        <v>109</v>
      </c>
      <c r="L479" s="29">
        <v>29.0</v>
      </c>
      <c r="M479" s="22" t="s">
        <v>7</v>
      </c>
    </row>
    <row r="480" ht="15.75" customHeight="1">
      <c r="A480" s="22" t="s">
        <v>572</v>
      </c>
      <c r="B480" s="23">
        <v>46105.0</v>
      </c>
      <c r="C480" s="22" t="s">
        <v>48</v>
      </c>
      <c r="D480" s="22" t="s">
        <v>108</v>
      </c>
      <c r="E480" s="29">
        <v>133.0</v>
      </c>
      <c r="F480" s="24">
        <v>1300.0</v>
      </c>
      <c r="G480" s="24">
        <v>1300.0</v>
      </c>
      <c r="H480" s="24">
        <v>172900.0</v>
      </c>
      <c r="I480" s="24">
        <v>6268.91</v>
      </c>
      <c r="J480" s="24">
        <v>0.0</v>
      </c>
      <c r="K480" s="22" t="s">
        <v>116</v>
      </c>
      <c r="L480" s="29">
        <v>1.0</v>
      </c>
      <c r="M480" s="22" t="s">
        <v>7</v>
      </c>
    </row>
    <row r="481" ht="15.75" customHeight="1">
      <c r="A481" s="22" t="s">
        <v>69</v>
      </c>
      <c r="B481" s="23">
        <v>46105.0</v>
      </c>
      <c r="C481" s="22" t="s">
        <v>38</v>
      </c>
      <c r="D481" s="22" t="s">
        <v>10</v>
      </c>
      <c r="E481" s="29">
        <v>232.0</v>
      </c>
      <c r="F481" s="24">
        <v>845.0</v>
      </c>
      <c r="G481" s="24">
        <v>845.0</v>
      </c>
      <c r="H481" s="24">
        <v>196040.0</v>
      </c>
      <c r="I481" s="24">
        <v>7386.21</v>
      </c>
      <c r="J481" s="24">
        <v>1914.8</v>
      </c>
      <c r="K481" s="22" t="s">
        <v>112</v>
      </c>
      <c r="L481" s="29">
        <v>28.0</v>
      </c>
      <c r="M481" s="22" t="s">
        <v>7</v>
      </c>
    </row>
    <row r="482" ht="15.75" customHeight="1">
      <c r="A482" s="22" t="s">
        <v>71</v>
      </c>
      <c r="B482" s="23">
        <v>46106.0</v>
      </c>
      <c r="C482" s="22" t="s">
        <v>48</v>
      </c>
      <c r="D482" s="22" t="s">
        <v>10</v>
      </c>
      <c r="E482" s="29">
        <v>225.0</v>
      </c>
      <c r="F482" s="24">
        <v>850.0</v>
      </c>
      <c r="G482" s="24">
        <v>850.0</v>
      </c>
      <c r="H482" s="24">
        <v>191250.0</v>
      </c>
      <c r="I482" s="24">
        <v>6688.67</v>
      </c>
      <c r="J482" s="24">
        <v>0.0</v>
      </c>
      <c r="K482" s="22" t="s">
        <v>116</v>
      </c>
      <c r="L482" s="29">
        <v>24.0</v>
      </c>
      <c r="M482" s="22" t="s">
        <v>7</v>
      </c>
    </row>
    <row r="483" ht="15.75" customHeight="1">
      <c r="A483" s="22" t="s">
        <v>76</v>
      </c>
      <c r="B483" s="23">
        <v>46106.0</v>
      </c>
      <c r="C483" s="22" t="s">
        <v>48</v>
      </c>
      <c r="D483" s="22" t="s">
        <v>10</v>
      </c>
      <c r="E483" s="29">
        <v>294.0</v>
      </c>
      <c r="F483" s="24">
        <v>850.0</v>
      </c>
      <c r="G483" s="24">
        <v>850.0</v>
      </c>
      <c r="H483" s="24">
        <v>249900.0</v>
      </c>
      <c r="I483" s="24">
        <v>12502.17</v>
      </c>
      <c r="J483" s="24">
        <v>3365.37</v>
      </c>
      <c r="K483" s="22" t="s">
        <v>109</v>
      </c>
      <c r="L483" s="29">
        <v>22.0</v>
      </c>
      <c r="M483" s="22" t="s">
        <v>7</v>
      </c>
    </row>
    <row r="484" ht="15.75" customHeight="1">
      <c r="A484" s="22" t="s">
        <v>62</v>
      </c>
      <c r="B484" s="23">
        <v>46107.0</v>
      </c>
      <c r="C484" s="22" t="s">
        <v>38</v>
      </c>
      <c r="D484" s="22" t="s">
        <v>10</v>
      </c>
      <c r="E484" s="29">
        <v>378.0</v>
      </c>
      <c r="F484" s="24">
        <v>845.0</v>
      </c>
      <c r="G484" s="24">
        <v>845.0</v>
      </c>
      <c r="H484" s="24">
        <v>319410.0</v>
      </c>
      <c r="I484" s="24">
        <v>19925.92</v>
      </c>
      <c r="J484" s="24">
        <v>0.0</v>
      </c>
      <c r="K484" s="22" t="s">
        <v>116</v>
      </c>
      <c r="L484" s="29">
        <v>40.0</v>
      </c>
      <c r="M484" s="22" t="s">
        <v>7</v>
      </c>
    </row>
    <row r="485" ht="15.75" customHeight="1">
      <c r="A485" s="22" t="s">
        <v>573</v>
      </c>
      <c r="B485" s="23">
        <v>46107.0</v>
      </c>
      <c r="C485" s="22" t="s">
        <v>38</v>
      </c>
      <c r="D485" s="22" t="s">
        <v>108</v>
      </c>
      <c r="E485" s="29">
        <v>90.0</v>
      </c>
      <c r="F485" s="24">
        <v>1290.0</v>
      </c>
      <c r="G485" s="24">
        <v>1290.0</v>
      </c>
      <c r="H485" s="24">
        <v>116100.0</v>
      </c>
      <c r="I485" s="24">
        <v>6576.13</v>
      </c>
      <c r="J485" s="24">
        <v>395.24</v>
      </c>
      <c r="K485" s="22" t="s">
        <v>114</v>
      </c>
      <c r="L485" s="29">
        <v>1.0</v>
      </c>
      <c r="M485" s="22" t="s">
        <v>7</v>
      </c>
    </row>
    <row r="486" ht="15.75" customHeight="1">
      <c r="A486" s="22" t="s">
        <v>73</v>
      </c>
      <c r="B486" s="23">
        <v>46108.0</v>
      </c>
      <c r="C486" s="22" t="s">
        <v>48</v>
      </c>
      <c r="D486" s="22" t="s">
        <v>10</v>
      </c>
      <c r="E486" s="29">
        <v>399.0</v>
      </c>
      <c r="F486" s="24">
        <v>850.0</v>
      </c>
      <c r="G486" s="24">
        <v>850.0</v>
      </c>
      <c r="H486" s="24">
        <v>339150.0</v>
      </c>
      <c r="I486" s="24">
        <v>12790.28</v>
      </c>
      <c r="J486" s="24">
        <v>0.0</v>
      </c>
      <c r="K486" s="22" t="s">
        <v>116</v>
      </c>
      <c r="L486" s="29">
        <v>27.0</v>
      </c>
      <c r="M486" s="22" t="s">
        <v>7</v>
      </c>
    </row>
    <row r="487" ht="15.75" customHeight="1">
      <c r="A487" s="22" t="s">
        <v>85</v>
      </c>
      <c r="B487" s="23">
        <v>46108.0</v>
      </c>
      <c r="C487" s="22" t="s">
        <v>56</v>
      </c>
      <c r="D487" s="22" t="s">
        <v>10</v>
      </c>
      <c r="E487" s="29">
        <v>132.0</v>
      </c>
      <c r="F487" s="24">
        <v>820.0</v>
      </c>
      <c r="G487" s="24">
        <v>820.0</v>
      </c>
      <c r="H487" s="24">
        <v>108240.0</v>
      </c>
      <c r="I487" s="24">
        <v>1927.03</v>
      </c>
      <c r="J487" s="24">
        <v>0.0</v>
      </c>
      <c r="K487" s="22" t="s">
        <v>116</v>
      </c>
      <c r="L487" s="29">
        <v>15.0</v>
      </c>
      <c r="M487" s="22" t="s">
        <v>7</v>
      </c>
    </row>
    <row r="488" ht="15.75" customHeight="1">
      <c r="A488" s="22" t="s">
        <v>574</v>
      </c>
      <c r="B488" s="23">
        <v>46108.0</v>
      </c>
      <c r="C488" s="22" t="s">
        <v>48</v>
      </c>
      <c r="D488" s="22" t="s">
        <v>49</v>
      </c>
      <c r="E488" s="29">
        <v>245.0</v>
      </c>
      <c r="F488" s="24">
        <v>240.0</v>
      </c>
      <c r="G488" s="24">
        <v>240.0</v>
      </c>
      <c r="H488" s="24">
        <v>58800.0</v>
      </c>
      <c r="I488" s="24">
        <v>2871.12</v>
      </c>
      <c r="J488" s="24">
        <v>782.62</v>
      </c>
      <c r="K488" s="22" t="s">
        <v>133</v>
      </c>
      <c r="L488" s="29">
        <v>9.0</v>
      </c>
      <c r="M488" s="22" t="s">
        <v>7</v>
      </c>
    </row>
    <row r="489" ht="15.75" customHeight="1">
      <c r="A489" s="22" t="s">
        <v>82</v>
      </c>
      <c r="B489" s="23">
        <v>46108.0</v>
      </c>
      <c r="C489" s="22" t="s">
        <v>56</v>
      </c>
      <c r="D489" s="22" t="s">
        <v>10</v>
      </c>
      <c r="E489" s="29">
        <v>208.0</v>
      </c>
      <c r="F489" s="24">
        <v>820.0</v>
      </c>
      <c r="G489" s="24">
        <v>820.0</v>
      </c>
      <c r="H489" s="24">
        <v>170560.0</v>
      </c>
      <c r="I489" s="24">
        <v>5521.36</v>
      </c>
      <c r="J489" s="24">
        <v>0.0</v>
      </c>
      <c r="K489" s="22" t="s">
        <v>116</v>
      </c>
      <c r="L489" s="29">
        <v>17.0</v>
      </c>
      <c r="M489" s="22" t="s">
        <v>7</v>
      </c>
    </row>
    <row r="490" ht="15.75" customHeight="1">
      <c r="A490" s="22" t="s">
        <v>93</v>
      </c>
      <c r="B490" s="23">
        <v>46108.0</v>
      </c>
      <c r="C490" s="22" t="s">
        <v>38</v>
      </c>
      <c r="D490" s="22" t="s">
        <v>10</v>
      </c>
      <c r="E490" s="29">
        <v>168.0</v>
      </c>
      <c r="F490" s="24">
        <v>845.0</v>
      </c>
      <c r="G490" s="24">
        <v>845.0</v>
      </c>
      <c r="H490" s="24">
        <v>141960.0</v>
      </c>
      <c r="I490" s="24">
        <v>7335.53</v>
      </c>
      <c r="J490" s="24">
        <v>0.0</v>
      </c>
      <c r="K490" s="22" t="s">
        <v>116</v>
      </c>
      <c r="L490" s="29">
        <v>10.0</v>
      </c>
      <c r="M490" s="22" t="s">
        <v>7</v>
      </c>
    </row>
    <row r="491" ht="15.75" customHeight="1">
      <c r="A491" s="22" t="s">
        <v>90</v>
      </c>
      <c r="B491" s="23">
        <v>46110.0</v>
      </c>
      <c r="C491" s="22" t="s">
        <v>48</v>
      </c>
      <c r="D491" s="22" t="s">
        <v>10</v>
      </c>
      <c r="E491" s="29">
        <v>149.0</v>
      </c>
      <c r="F491" s="24">
        <v>850.0</v>
      </c>
      <c r="G491" s="24">
        <v>850.0</v>
      </c>
      <c r="H491" s="24">
        <v>126650.0</v>
      </c>
      <c r="I491" s="24">
        <v>3088.78</v>
      </c>
      <c r="J491" s="24">
        <v>296.89</v>
      </c>
      <c r="K491" s="22" t="s">
        <v>109</v>
      </c>
      <c r="L491" s="29">
        <v>11.0</v>
      </c>
      <c r="M491" s="22" t="s">
        <v>7</v>
      </c>
    </row>
    <row r="492" ht="15.75" customHeight="1">
      <c r="A492" s="22" t="s">
        <v>575</v>
      </c>
      <c r="B492" s="23">
        <v>46111.0</v>
      </c>
      <c r="C492" s="22" t="s">
        <v>48</v>
      </c>
      <c r="D492" s="22" t="s">
        <v>49</v>
      </c>
      <c r="E492" s="29">
        <v>285.0</v>
      </c>
      <c r="F492" s="24">
        <v>240.0</v>
      </c>
      <c r="G492" s="24">
        <v>240.0</v>
      </c>
      <c r="H492" s="24">
        <v>68400.0</v>
      </c>
      <c r="I492" s="24">
        <v>3652.13</v>
      </c>
      <c r="J492" s="24">
        <v>849.82</v>
      </c>
      <c r="K492" s="22" t="s">
        <v>114</v>
      </c>
      <c r="L492" s="29">
        <v>8.0</v>
      </c>
      <c r="M492" s="22" t="s">
        <v>7</v>
      </c>
    </row>
    <row r="493" ht="15.75" customHeight="1">
      <c r="A493" s="22" t="s">
        <v>576</v>
      </c>
      <c r="B493" s="23">
        <v>46112.0</v>
      </c>
      <c r="C493" s="22" t="s">
        <v>56</v>
      </c>
      <c r="D493" s="22" t="s">
        <v>49</v>
      </c>
      <c r="E493" s="29">
        <v>253.0</v>
      </c>
      <c r="F493" s="24">
        <v>230.0</v>
      </c>
      <c r="G493" s="24">
        <v>230.0</v>
      </c>
      <c r="H493" s="24">
        <v>58190.0</v>
      </c>
      <c r="I493" s="24">
        <v>958.68</v>
      </c>
      <c r="J493" s="24">
        <v>525.34</v>
      </c>
      <c r="K493" s="22" t="s">
        <v>112</v>
      </c>
      <c r="L493" s="29">
        <v>6.0</v>
      </c>
      <c r="M493" s="22" t="s">
        <v>7</v>
      </c>
    </row>
    <row r="494" ht="15.75" customHeight="1">
      <c r="A494" s="22" t="s">
        <v>577</v>
      </c>
      <c r="B494" s="23">
        <v>46112.0</v>
      </c>
      <c r="C494" s="22" t="s">
        <v>48</v>
      </c>
      <c r="D494" s="22" t="s">
        <v>49</v>
      </c>
      <c r="E494" s="29">
        <v>142.0</v>
      </c>
      <c r="F494" s="24">
        <v>240.0</v>
      </c>
      <c r="G494" s="24">
        <v>240.0</v>
      </c>
      <c r="H494" s="24">
        <v>34080.0</v>
      </c>
      <c r="I494" s="24">
        <v>817.92</v>
      </c>
      <c r="J494" s="24">
        <v>0.0</v>
      </c>
      <c r="K494" s="22" t="s">
        <v>116</v>
      </c>
      <c r="L494" s="29">
        <v>4.0</v>
      </c>
      <c r="M494" s="22" t="s">
        <v>7</v>
      </c>
    </row>
    <row r="495" ht="15.75" customHeight="1">
      <c r="A495" s="22" t="s">
        <v>578</v>
      </c>
      <c r="B495" s="23">
        <v>46112.0</v>
      </c>
      <c r="C495" s="22" t="s">
        <v>38</v>
      </c>
      <c r="D495" s="22" t="s">
        <v>49</v>
      </c>
      <c r="E495" s="29">
        <v>67.0</v>
      </c>
      <c r="F495" s="24">
        <v>235.0</v>
      </c>
      <c r="G495" s="24">
        <v>235.0</v>
      </c>
      <c r="H495" s="24">
        <v>15745.0</v>
      </c>
      <c r="I495" s="24">
        <v>879.25</v>
      </c>
      <c r="J495" s="24">
        <v>101.89</v>
      </c>
      <c r="K495" s="22" t="s">
        <v>112</v>
      </c>
      <c r="L495" s="29">
        <v>1.0</v>
      </c>
      <c r="M495" s="22" t="s">
        <v>7</v>
      </c>
    </row>
    <row r="496" ht="15.75" customHeight="1">
      <c r="A496" s="22" t="s">
        <v>579</v>
      </c>
      <c r="B496" s="23">
        <v>46112.0</v>
      </c>
      <c r="C496" s="22" t="s">
        <v>48</v>
      </c>
      <c r="D496" s="22" t="s">
        <v>49</v>
      </c>
      <c r="E496" s="29">
        <v>639.0</v>
      </c>
      <c r="F496" s="24">
        <v>240.0</v>
      </c>
      <c r="G496" s="24">
        <v>240.0</v>
      </c>
      <c r="H496" s="24">
        <v>153360.0</v>
      </c>
      <c r="I496" s="24">
        <v>4502.71</v>
      </c>
      <c r="J496" s="24">
        <v>1370.93</v>
      </c>
      <c r="K496" s="22" t="s">
        <v>112</v>
      </c>
      <c r="L496" s="29">
        <v>17.0</v>
      </c>
      <c r="M496" s="22" t="s">
        <v>7</v>
      </c>
    </row>
    <row r="497" ht="15.75" customHeight="1">
      <c r="A497" s="22" t="s">
        <v>67</v>
      </c>
      <c r="B497" s="23">
        <v>46112.0</v>
      </c>
      <c r="C497" s="22" t="s">
        <v>48</v>
      </c>
      <c r="D497" s="22" t="s">
        <v>10</v>
      </c>
      <c r="E497" s="29">
        <v>524.0</v>
      </c>
      <c r="F497" s="24">
        <v>850.0</v>
      </c>
      <c r="G497" s="24">
        <v>850.0</v>
      </c>
      <c r="H497" s="24">
        <v>445400.0</v>
      </c>
      <c r="I497" s="24">
        <v>15878.62</v>
      </c>
      <c r="J497" s="24">
        <v>2076.04</v>
      </c>
      <c r="K497" s="22" t="s">
        <v>114</v>
      </c>
      <c r="L497" s="29">
        <v>35.0</v>
      </c>
      <c r="M497" s="22" t="s">
        <v>7</v>
      </c>
    </row>
    <row r="498" ht="15.75" customHeight="1">
      <c r="A498" s="22" t="s">
        <v>580</v>
      </c>
      <c r="B498" s="23">
        <v>46113.0</v>
      </c>
      <c r="C498" s="22" t="s">
        <v>56</v>
      </c>
      <c r="D498" s="22" t="s">
        <v>10</v>
      </c>
      <c r="E498" s="29">
        <v>129.0</v>
      </c>
      <c r="F498" s="24">
        <v>820.0</v>
      </c>
      <c r="G498" s="24">
        <v>820.0</v>
      </c>
      <c r="H498" s="24">
        <v>105780.0</v>
      </c>
      <c r="I498" s="24">
        <v>1625.46</v>
      </c>
      <c r="J498" s="24">
        <v>0.0</v>
      </c>
      <c r="K498" s="22" t="s">
        <v>116</v>
      </c>
      <c r="L498" s="29">
        <v>2.0</v>
      </c>
      <c r="M498" s="22" t="s">
        <v>581</v>
      </c>
    </row>
    <row r="499" ht="15.75" customHeight="1">
      <c r="A499" s="22" t="s">
        <v>582</v>
      </c>
      <c r="B499" s="23">
        <v>46114.0</v>
      </c>
      <c r="C499" s="22" t="s">
        <v>38</v>
      </c>
      <c r="D499" s="22" t="s">
        <v>10</v>
      </c>
      <c r="E499" s="29">
        <v>212.0</v>
      </c>
      <c r="F499" s="24">
        <v>845.0</v>
      </c>
      <c r="G499" s="24">
        <v>845.0</v>
      </c>
      <c r="H499" s="24">
        <v>179140.0</v>
      </c>
      <c r="I499" s="24">
        <v>9972.4</v>
      </c>
      <c r="J499" s="24">
        <v>0.0</v>
      </c>
      <c r="K499" s="22" t="s">
        <v>116</v>
      </c>
      <c r="L499" s="29">
        <v>3.0</v>
      </c>
      <c r="M499" s="22" t="s">
        <v>581</v>
      </c>
    </row>
    <row r="500" ht="15.75" customHeight="1">
      <c r="A500" s="22" t="s">
        <v>583</v>
      </c>
      <c r="B500" s="23">
        <v>46114.0</v>
      </c>
      <c r="C500" s="22" t="s">
        <v>38</v>
      </c>
      <c r="D500" s="22" t="s">
        <v>10</v>
      </c>
      <c r="E500" s="29">
        <v>718.0</v>
      </c>
      <c r="F500" s="24">
        <v>845.0</v>
      </c>
      <c r="G500" s="24">
        <v>845.0</v>
      </c>
      <c r="H500" s="24">
        <v>606710.0</v>
      </c>
      <c r="I500" s="24">
        <v>18830.25</v>
      </c>
      <c r="J500" s="24">
        <v>0.0</v>
      </c>
      <c r="K500" s="22" t="s">
        <v>116</v>
      </c>
      <c r="L500" s="29">
        <v>14.0</v>
      </c>
      <c r="M500" s="22" t="s">
        <v>581</v>
      </c>
    </row>
    <row r="501" ht="15.75" customHeight="1">
      <c r="A501" s="22" t="s">
        <v>584</v>
      </c>
      <c r="B501" s="23">
        <v>46114.0</v>
      </c>
      <c r="C501" s="22" t="s">
        <v>48</v>
      </c>
      <c r="D501" s="22" t="s">
        <v>10</v>
      </c>
      <c r="E501" s="29">
        <v>125.0</v>
      </c>
      <c r="F501" s="24">
        <v>850.0</v>
      </c>
      <c r="G501" s="24">
        <v>850.0</v>
      </c>
      <c r="H501" s="24">
        <v>106250.0</v>
      </c>
      <c r="I501" s="24">
        <v>5993.5</v>
      </c>
      <c r="J501" s="24">
        <v>0.0</v>
      </c>
      <c r="K501" s="22" t="s">
        <v>116</v>
      </c>
      <c r="L501" s="29">
        <v>2.0</v>
      </c>
      <c r="M501" s="22" t="s">
        <v>581</v>
      </c>
    </row>
    <row r="502" ht="15.75" customHeight="1">
      <c r="A502" s="22" t="s">
        <v>585</v>
      </c>
      <c r="B502" s="23">
        <v>46115.0</v>
      </c>
      <c r="C502" s="22" t="s">
        <v>38</v>
      </c>
      <c r="D502" s="22" t="s">
        <v>49</v>
      </c>
      <c r="E502" s="29">
        <v>343.0</v>
      </c>
      <c r="F502" s="24">
        <v>235.0</v>
      </c>
      <c r="G502" s="24">
        <v>235.0</v>
      </c>
      <c r="H502" s="24">
        <v>80605.0</v>
      </c>
      <c r="I502" s="24">
        <v>2171.76</v>
      </c>
      <c r="J502" s="24">
        <v>0.0</v>
      </c>
      <c r="K502" s="22" t="s">
        <v>116</v>
      </c>
      <c r="L502" s="29">
        <v>9.0</v>
      </c>
      <c r="M502" s="22" t="s">
        <v>581</v>
      </c>
    </row>
    <row r="503" ht="15.75" customHeight="1">
      <c r="A503" s="22" t="s">
        <v>586</v>
      </c>
      <c r="B503" s="23">
        <v>46115.0</v>
      </c>
      <c r="C503" s="22" t="s">
        <v>56</v>
      </c>
      <c r="D503" s="22" t="s">
        <v>49</v>
      </c>
      <c r="E503" s="29">
        <v>149.0</v>
      </c>
      <c r="F503" s="24">
        <v>230.0</v>
      </c>
      <c r="G503" s="24">
        <v>230.0</v>
      </c>
      <c r="H503" s="24">
        <v>34270.0</v>
      </c>
      <c r="I503" s="24">
        <v>883.93</v>
      </c>
      <c r="J503" s="24">
        <v>0.0</v>
      </c>
      <c r="K503" s="22" t="s">
        <v>116</v>
      </c>
      <c r="L503" s="29">
        <v>6.0</v>
      </c>
      <c r="M503" s="22" t="s">
        <v>581</v>
      </c>
    </row>
    <row r="504" ht="15.75" customHeight="1">
      <c r="A504" s="22" t="s">
        <v>587</v>
      </c>
      <c r="B504" s="23">
        <v>46116.0</v>
      </c>
      <c r="C504" s="22" t="s">
        <v>56</v>
      </c>
      <c r="D504" s="22" t="s">
        <v>108</v>
      </c>
      <c r="E504" s="29">
        <v>648.0</v>
      </c>
      <c r="F504" s="24">
        <v>1250.0</v>
      </c>
      <c r="G504" s="24">
        <v>1250.0</v>
      </c>
      <c r="H504" s="24">
        <v>810000.0</v>
      </c>
      <c r="I504" s="24">
        <v>21002.89</v>
      </c>
      <c r="J504" s="24">
        <v>8035.11</v>
      </c>
      <c r="K504" s="22" t="s">
        <v>112</v>
      </c>
      <c r="L504" s="29">
        <v>11.0</v>
      </c>
      <c r="M504" s="22" t="s">
        <v>581</v>
      </c>
    </row>
    <row r="505" ht="15.75" customHeight="1">
      <c r="A505" s="22" t="s">
        <v>588</v>
      </c>
      <c r="B505" s="23">
        <v>46117.0</v>
      </c>
      <c r="C505" s="22" t="s">
        <v>56</v>
      </c>
      <c r="D505" s="22" t="s">
        <v>10</v>
      </c>
      <c r="E505" s="29">
        <v>360.0</v>
      </c>
      <c r="F505" s="24">
        <v>820.0</v>
      </c>
      <c r="G505" s="24">
        <v>820.0</v>
      </c>
      <c r="H505" s="24">
        <v>295200.0</v>
      </c>
      <c r="I505" s="24">
        <v>5440.01</v>
      </c>
      <c r="J505" s="24">
        <v>0.0</v>
      </c>
      <c r="K505" s="22" t="s">
        <v>116</v>
      </c>
      <c r="L505" s="29">
        <v>7.0</v>
      </c>
      <c r="M505" s="22" t="s">
        <v>581</v>
      </c>
    </row>
    <row r="506" ht="15.75" customHeight="1">
      <c r="A506" s="22" t="s">
        <v>589</v>
      </c>
      <c r="B506" s="23">
        <v>46118.0</v>
      </c>
      <c r="C506" s="22" t="s">
        <v>38</v>
      </c>
      <c r="D506" s="22" t="s">
        <v>10</v>
      </c>
      <c r="E506" s="29">
        <v>50.0</v>
      </c>
      <c r="F506" s="24">
        <v>845.0</v>
      </c>
      <c r="G506" s="24">
        <v>845.0</v>
      </c>
      <c r="H506" s="24">
        <v>42250.0</v>
      </c>
      <c r="I506" s="24">
        <v>1152.63</v>
      </c>
      <c r="J506" s="24">
        <v>0.0</v>
      </c>
      <c r="K506" s="22" t="s">
        <v>116</v>
      </c>
      <c r="L506" s="29">
        <v>2.0</v>
      </c>
      <c r="M506" s="22" t="s">
        <v>581</v>
      </c>
    </row>
    <row r="507" ht="15.75" customHeight="1">
      <c r="A507" s="22" t="s">
        <v>590</v>
      </c>
      <c r="B507" s="23">
        <v>46119.0</v>
      </c>
      <c r="C507" s="22" t="s">
        <v>56</v>
      </c>
      <c r="D507" s="22" t="s">
        <v>10</v>
      </c>
      <c r="E507" s="29">
        <v>230.0</v>
      </c>
      <c r="F507" s="24">
        <v>820.0</v>
      </c>
      <c r="G507" s="24">
        <v>820.0</v>
      </c>
      <c r="H507" s="24">
        <v>188600.0</v>
      </c>
      <c r="I507" s="24">
        <v>5709.24</v>
      </c>
      <c r="J507" s="24">
        <v>910.29</v>
      </c>
      <c r="K507" s="22" t="s">
        <v>109</v>
      </c>
      <c r="L507" s="29">
        <v>5.0</v>
      </c>
      <c r="M507" s="22" t="s">
        <v>581</v>
      </c>
    </row>
    <row r="508" ht="15.75" customHeight="1">
      <c r="A508" s="22" t="s">
        <v>591</v>
      </c>
      <c r="B508" s="23">
        <v>46119.0</v>
      </c>
      <c r="C508" s="22" t="s">
        <v>56</v>
      </c>
      <c r="D508" s="22" t="s">
        <v>49</v>
      </c>
      <c r="E508" s="29">
        <v>142.0</v>
      </c>
      <c r="F508" s="24">
        <v>230.0</v>
      </c>
      <c r="G508" s="24">
        <v>230.0</v>
      </c>
      <c r="H508" s="24">
        <v>32660.0</v>
      </c>
      <c r="I508" s="24">
        <v>546.25</v>
      </c>
      <c r="J508" s="24">
        <v>339.66</v>
      </c>
      <c r="K508" s="22" t="s">
        <v>133</v>
      </c>
      <c r="L508" s="29">
        <v>4.0</v>
      </c>
      <c r="M508" s="22" t="s">
        <v>581</v>
      </c>
    </row>
    <row r="509" ht="15.75" customHeight="1">
      <c r="A509" s="22" t="s">
        <v>592</v>
      </c>
      <c r="B509" s="23">
        <v>46119.0</v>
      </c>
      <c r="C509" s="22" t="s">
        <v>38</v>
      </c>
      <c r="D509" s="22" t="s">
        <v>108</v>
      </c>
      <c r="E509" s="29">
        <v>529.0</v>
      </c>
      <c r="F509" s="24">
        <v>1290.0</v>
      </c>
      <c r="G509" s="24">
        <v>1290.0</v>
      </c>
      <c r="H509" s="24">
        <v>682410.0</v>
      </c>
      <c r="I509" s="24">
        <v>33349.43</v>
      </c>
      <c r="J509" s="24">
        <v>12022.43</v>
      </c>
      <c r="K509" s="22" t="s">
        <v>112</v>
      </c>
      <c r="L509" s="29">
        <v>7.0</v>
      </c>
      <c r="M509" s="22" t="s">
        <v>581</v>
      </c>
    </row>
    <row r="510" ht="15.75" customHeight="1">
      <c r="A510" s="22" t="s">
        <v>593</v>
      </c>
      <c r="B510" s="23">
        <v>46119.0</v>
      </c>
      <c r="C510" s="22" t="s">
        <v>48</v>
      </c>
      <c r="D510" s="22" t="s">
        <v>10</v>
      </c>
      <c r="E510" s="29">
        <v>407.0</v>
      </c>
      <c r="F510" s="24">
        <v>850.0</v>
      </c>
      <c r="G510" s="24">
        <v>850.0</v>
      </c>
      <c r="H510" s="24">
        <v>345950.0</v>
      </c>
      <c r="I510" s="24">
        <v>6851.09</v>
      </c>
      <c r="J510" s="24">
        <v>1330.2</v>
      </c>
      <c r="K510" s="22" t="s">
        <v>133</v>
      </c>
      <c r="L510" s="29">
        <v>7.0</v>
      </c>
      <c r="M510" s="22" t="s">
        <v>581</v>
      </c>
    </row>
    <row r="511" ht="15.75" customHeight="1">
      <c r="A511" s="22" t="s">
        <v>594</v>
      </c>
      <c r="B511" s="23">
        <v>46120.0</v>
      </c>
      <c r="C511" s="22" t="s">
        <v>38</v>
      </c>
      <c r="D511" s="22" t="s">
        <v>10</v>
      </c>
      <c r="E511" s="29">
        <v>412.0</v>
      </c>
      <c r="F511" s="24">
        <v>845.0</v>
      </c>
      <c r="G511" s="24">
        <v>845.0</v>
      </c>
      <c r="H511" s="24">
        <v>348140.0</v>
      </c>
      <c r="I511" s="24">
        <v>24218.35</v>
      </c>
      <c r="J511" s="24">
        <v>1495.08</v>
      </c>
      <c r="K511" s="22" t="s">
        <v>112</v>
      </c>
      <c r="L511" s="29">
        <v>9.0</v>
      </c>
      <c r="M511" s="22" t="s">
        <v>581</v>
      </c>
    </row>
    <row r="512" ht="15.75" customHeight="1">
      <c r="A512" s="22" t="s">
        <v>595</v>
      </c>
      <c r="B512" s="23">
        <v>46121.0</v>
      </c>
      <c r="C512" s="22" t="s">
        <v>38</v>
      </c>
      <c r="D512" s="22" t="s">
        <v>10</v>
      </c>
      <c r="E512" s="29">
        <v>341.0</v>
      </c>
      <c r="F512" s="24">
        <v>845.0</v>
      </c>
      <c r="G512" s="24">
        <v>845.0</v>
      </c>
      <c r="H512" s="24">
        <v>288145.0</v>
      </c>
      <c r="I512" s="24">
        <v>14369.41</v>
      </c>
      <c r="J512" s="24">
        <v>0.0</v>
      </c>
      <c r="K512" s="22" t="s">
        <v>116</v>
      </c>
      <c r="L512" s="29">
        <v>7.0</v>
      </c>
      <c r="M512" s="22" t="s">
        <v>581</v>
      </c>
    </row>
    <row r="513" ht="15.75" customHeight="1">
      <c r="A513" s="22" t="s">
        <v>596</v>
      </c>
      <c r="B513" s="23">
        <v>46121.0</v>
      </c>
      <c r="C513" s="22" t="s">
        <v>48</v>
      </c>
      <c r="D513" s="22" t="s">
        <v>10</v>
      </c>
      <c r="E513" s="29">
        <v>188.0</v>
      </c>
      <c r="F513" s="24">
        <v>850.0</v>
      </c>
      <c r="G513" s="24">
        <v>850.0</v>
      </c>
      <c r="H513" s="24">
        <v>159800.0</v>
      </c>
      <c r="I513" s="24">
        <v>4379.88</v>
      </c>
      <c r="J513" s="24">
        <v>1273.69</v>
      </c>
      <c r="K513" s="22" t="s">
        <v>133</v>
      </c>
      <c r="L513" s="29">
        <v>3.0</v>
      </c>
      <c r="M513" s="22" t="s">
        <v>581</v>
      </c>
    </row>
    <row r="514" ht="15.75" customHeight="1">
      <c r="A514" s="22" t="s">
        <v>597</v>
      </c>
      <c r="B514" s="23">
        <v>46121.0</v>
      </c>
      <c r="C514" s="22" t="s">
        <v>56</v>
      </c>
      <c r="D514" s="22" t="s">
        <v>10</v>
      </c>
      <c r="E514" s="29">
        <v>50.0</v>
      </c>
      <c r="F514" s="24">
        <v>820.0</v>
      </c>
      <c r="G514" s="24">
        <v>820.0</v>
      </c>
      <c r="H514" s="24">
        <v>41000.0</v>
      </c>
      <c r="I514" s="24">
        <v>1435.24</v>
      </c>
      <c r="J514" s="24">
        <v>348.49</v>
      </c>
      <c r="K514" s="22" t="s">
        <v>109</v>
      </c>
      <c r="L514" s="29">
        <v>0.0</v>
      </c>
      <c r="M514" s="22" t="s">
        <v>581</v>
      </c>
    </row>
    <row r="515" ht="15.75" customHeight="1">
      <c r="A515" s="22" t="s">
        <v>598</v>
      </c>
      <c r="B515" s="23">
        <v>46123.0</v>
      </c>
      <c r="C515" s="22" t="s">
        <v>38</v>
      </c>
      <c r="D515" s="22" t="s">
        <v>10</v>
      </c>
      <c r="E515" s="29">
        <v>737.0</v>
      </c>
      <c r="F515" s="24">
        <v>845.0</v>
      </c>
      <c r="G515" s="24">
        <v>845.0</v>
      </c>
      <c r="H515" s="24">
        <v>622765.0</v>
      </c>
      <c r="I515" s="24">
        <v>39142.41</v>
      </c>
      <c r="J515" s="24">
        <v>0.0</v>
      </c>
      <c r="K515" s="22" t="s">
        <v>116</v>
      </c>
      <c r="L515" s="29">
        <v>9.0</v>
      </c>
      <c r="M515" s="22" t="s">
        <v>581</v>
      </c>
    </row>
    <row r="516" ht="15.75" customHeight="1">
      <c r="A516" s="22" t="s">
        <v>599</v>
      </c>
      <c r="B516" s="23">
        <v>46123.0</v>
      </c>
      <c r="C516" s="22" t="s">
        <v>48</v>
      </c>
      <c r="D516" s="22" t="s">
        <v>108</v>
      </c>
      <c r="E516" s="29">
        <v>85.0</v>
      </c>
      <c r="F516" s="24">
        <v>1300.0</v>
      </c>
      <c r="G516" s="24">
        <v>1300.0</v>
      </c>
      <c r="H516" s="24">
        <v>110500.0</v>
      </c>
      <c r="I516" s="24">
        <v>5992.52</v>
      </c>
      <c r="J516" s="24">
        <v>0.0</v>
      </c>
      <c r="K516" s="22" t="s">
        <v>116</v>
      </c>
      <c r="L516" s="29">
        <v>0.0</v>
      </c>
      <c r="M516" s="22" t="s">
        <v>581</v>
      </c>
    </row>
    <row r="517" ht="15.75" customHeight="1">
      <c r="A517" s="22" t="s">
        <v>600</v>
      </c>
      <c r="B517" s="23">
        <v>46124.0</v>
      </c>
      <c r="C517" s="22" t="s">
        <v>38</v>
      </c>
      <c r="D517" s="22" t="s">
        <v>10</v>
      </c>
      <c r="E517" s="29">
        <v>50.0</v>
      </c>
      <c r="F517" s="24">
        <v>845.0</v>
      </c>
      <c r="G517" s="24">
        <v>845.0</v>
      </c>
      <c r="H517" s="24">
        <v>42250.0</v>
      </c>
      <c r="I517" s="24">
        <v>2992.43</v>
      </c>
      <c r="J517" s="24">
        <v>340.41</v>
      </c>
      <c r="K517" s="22" t="s">
        <v>109</v>
      </c>
      <c r="L517" s="29">
        <v>4.0</v>
      </c>
      <c r="M517" s="22" t="s">
        <v>581</v>
      </c>
    </row>
    <row r="518" ht="15.75" customHeight="1">
      <c r="A518" s="22" t="s">
        <v>601</v>
      </c>
      <c r="B518" s="23">
        <v>46124.0</v>
      </c>
      <c r="C518" s="22" t="s">
        <v>48</v>
      </c>
      <c r="D518" s="22" t="s">
        <v>49</v>
      </c>
      <c r="E518" s="29">
        <v>241.0</v>
      </c>
      <c r="F518" s="24">
        <v>240.0</v>
      </c>
      <c r="G518" s="24">
        <v>240.0</v>
      </c>
      <c r="H518" s="24">
        <v>57840.0</v>
      </c>
      <c r="I518" s="24">
        <v>2207.48</v>
      </c>
      <c r="J518" s="24">
        <v>556.68</v>
      </c>
      <c r="K518" s="22" t="s">
        <v>109</v>
      </c>
      <c r="L518" s="29">
        <v>6.0</v>
      </c>
      <c r="M518" s="22" t="s">
        <v>581</v>
      </c>
    </row>
    <row r="519" ht="15.75" customHeight="1">
      <c r="A519" s="22" t="s">
        <v>602</v>
      </c>
      <c r="B519" s="23">
        <v>46124.0</v>
      </c>
      <c r="C519" s="22" t="s">
        <v>38</v>
      </c>
      <c r="D519" s="22" t="s">
        <v>108</v>
      </c>
      <c r="E519" s="29">
        <v>443.0</v>
      </c>
      <c r="F519" s="24">
        <v>1290.0</v>
      </c>
      <c r="G519" s="24">
        <v>1290.0</v>
      </c>
      <c r="H519" s="24">
        <v>571470.0</v>
      </c>
      <c r="I519" s="24">
        <v>33726.85</v>
      </c>
      <c r="J519" s="24">
        <v>4431.56</v>
      </c>
      <c r="K519" s="22" t="s">
        <v>133</v>
      </c>
      <c r="L519" s="29">
        <v>1.0</v>
      </c>
      <c r="M519" s="22" t="s">
        <v>581</v>
      </c>
    </row>
    <row r="520" ht="15.75" customHeight="1">
      <c r="A520" s="22" t="s">
        <v>603</v>
      </c>
      <c r="B520" s="23">
        <v>46124.0</v>
      </c>
      <c r="C520" s="22" t="s">
        <v>38</v>
      </c>
      <c r="D520" s="22" t="s">
        <v>10</v>
      </c>
      <c r="E520" s="29">
        <v>168.0</v>
      </c>
      <c r="F520" s="24">
        <v>845.0</v>
      </c>
      <c r="G520" s="24">
        <v>845.0</v>
      </c>
      <c r="H520" s="24">
        <v>141960.0</v>
      </c>
      <c r="I520" s="24">
        <v>6201.32</v>
      </c>
      <c r="J520" s="24">
        <v>0.0</v>
      </c>
      <c r="K520" s="22" t="s">
        <v>116</v>
      </c>
      <c r="L520" s="29">
        <v>2.0</v>
      </c>
      <c r="M520" s="22" t="s">
        <v>581</v>
      </c>
    </row>
    <row r="521" ht="15.75" customHeight="1">
      <c r="A521" s="22" t="s">
        <v>604</v>
      </c>
      <c r="B521" s="23">
        <v>46125.0</v>
      </c>
      <c r="C521" s="22" t="s">
        <v>38</v>
      </c>
      <c r="D521" s="22" t="s">
        <v>10</v>
      </c>
      <c r="E521" s="29">
        <v>1110.0</v>
      </c>
      <c r="F521" s="24">
        <v>845.0</v>
      </c>
      <c r="G521" s="24">
        <v>845.0</v>
      </c>
      <c r="H521" s="24">
        <v>937950.0</v>
      </c>
      <c r="I521" s="24">
        <v>66028.5</v>
      </c>
      <c r="J521" s="24">
        <v>16356.07</v>
      </c>
      <c r="K521" s="22" t="s">
        <v>112</v>
      </c>
      <c r="L521" s="29">
        <v>20.0</v>
      </c>
      <c r="M521" s="22" t="s">
        <v>581</v>
      </c>
    </row>
    <row r="522" ht="15.75" customHeight="1">
      <c r="A522" s="22" t="s">
        <v>605</v>
      </c>
      <c r="B522" s="23">
        <v>46125.0</v>
      </c>
      <c r="C522" s="22" t="s">
        <v>38</v>
      </c>
      <c r="D522" s="22" t="s">
        <v>10</v>
      </c>
      <c r="E522" s="29">
        <v>187.0</v>
      </c>
      <c r="F522" s="24">
        <v>845.0</v>
      </c>
      <c r="G522" s="24">
        <v>845.0</v>
      </c>
      <c r="H522" s="24">
        <v>158015.0</v>
      </c>
      <c r="I522" s="24">
        <v>7428.21</v>
      </c>
      <c r="J522" s="24">
        <v>0.0</v>
      </c>
      <c r="K522" s="22" t="s">
        <v>116</v>
      </c>
      <c r="L522" s="29">
        <v>2.0</v>
      </c>
      <c r="M522" s="22" t="s">
        <v>581</v>
      </c>
    </row>
    <row r="523" ht="15.75" customHeight="1">
      <c r="A523" s="22" t="s">
        <v>606</v>
      </c>
      <c r="B523" s="23">
        <v>46126.0</v>
      </c>
      <c r="C523" s="22" t="s">
        <v>56</v>
      </c>
      <c r="D523" s="22" t="s">
        <v>10</v>
      </c>
      <c r="E523" s="29">
        <v>395.0</v>
      </c>
      <c r="F523" s="24">
        <v>820.0</v>
      </c>
      <c r="G523" s="24">
        <v>820.0</v>
      </c>
      <c r="H523" s="24">
        <v>323900.0</v>
      </c>
      <c r="I523" s="24">
        <v>4909.39</v>
      </c>
      <c r="J523" s="24">
        <v>3326.17</v>
      </c>
      <c r="K523" s="22" t="s">
        <v>112</v>
      </c>
      <c r="L523" s="29">
        <v>12.0</v>
      </c>
      <c r="M523" s="22" t="s">
        <v>581</v>
      </c>
    </row>
    <row r="524" ht="15.75" customHeight="1">
      <c r="A524" s="22" t="s">
        <v>607</v>
      </c>
      <c r="B524" s="23">
        <v>46126.0</v>
      </c>
      <c r="C524" s="22" t="s">
        <v>38</v>
      </c>
      <c r="D524" s="22" t="s">
        <v>10</v>
      </c>
      <c r="E524" s="29">
        <v>165.0</v>
      </c>
      <c r="F524" s="24">
        <v>845.0</v>
      </c>
      <c r="G524" s="24">
        <v>845.0</v>
      </c>
      <c r="H524" s="24">
        <v>139425.0</v>
      </c>
      <c r="I524" s="24">
        <v>6336.12</v>
      </c>
      <c r="J524" s="24">
        <v>1868.94</v>
      </c>
      <c r="K524" s="22" t="s">
        <v>109</v>
      </c>
      <c r="L524" s="29">
        <v>4.0</v>
      </c>
      <c r="M524" s="22" t="s">
        <v>581</v>
      </c>
    </row>
    <row r="525" ht="15.75" customHeight="1">
      <c r="A525" s="22" t="s">
        <v>608</v>
      </c>
      <c r="B525" s="23">
        <v>46127.0</v>
      </c>
      <c r="C525" s="22" t="s">
        <v>38</v>
      </c>
      <c r="D525" s="22" t="s">
        <v>108</v>
      </c>
      <c r="E525" s="29">
        <v>286.0</v>
      </c>
      <c r="F525" s="24">
        <v>1290.0</v>
      </c>
      <c r="G525" s="24">
        <v>1290.0</v>
      </c>
      <c r="H525" s="24">
        <v>368940.0</v>
      </c>
      <c r="I525" s="24">
        <v>21196.77</v>
      </c>
      <c r="J525" s="24">
        <v>6268.43</v>
      </c>
      <c r="K525" s="22" t="s">
        <v>133</v>
      </c>
      <c r="L525" s="29">
        <v>4.0</v>
      </c>
      <c r="M525" s="22" t="s">
        <v>581</v>
      </c>
    </row>
    <row r="526" ht="15.75" customHeight="1">
      <c r="A526" s="22" t="s">
        <v>609</v>
      </c>
      <c r="B526" s="23">
        <v>46127.0</v>
      </c>
      <c r="C526" s="22" t="s">
        <v>48</v>
      </c>
      <c r="D526" s="22" t="s">
        <v>10</v>
      </c>
      <c r="E526" s="29">
        <v>245.0</v>
      </c>
      <c r="F526" s="24">
        <v>850.0</v>
      </c>
      <c r="G526" s="24">
        <v>850.0</v>
      </c>
      <c r="H526" s="24">
        <v>208250.0</v>
      </c>
      <c r="I526" s="24">
        <v>8285.26</v>
      </c>
      <c r="J526" s="24">
        <v>2737.94</v>
      </c>
      <c r="K526" s="22" t="s">
        <v>133</v>
      </c>
      <c r="L526" s="29">
        <v>6.0</v>
      </c>
      <c r="M526" s="22" t="s">
        <v>581</v>
      </c>
    </row>
    <row r="527" ht="15.75" customHeight="1">
      <c r="A527" s="22" t="s">
        <v>610</v>
      </c>
      <c r="B527" s="23">
        <v>46127.0</v>
      </c>
      <c r="C527" s="22" t="s">
        <v>38</v>
      </c>
      <c r="D527" s="22" t="s">
        <v>108</v>
      </c>
      <c r="E527" s="29">
        <v>198.0</v>
      </c>
      <c r="F527" s="24">
        <v>1290.0</v>
      </c>
      <c r="G527" s="24">
        <v>1290.0</v>
      </c>
      <c r="H527" s="24">
        <v>255420.0</v>
      </c>
      <c r="I527" s="24">
        <v>7621.95</v>
      </c>
      <c r="J527" s="24">
        <v>3671.89</v>
      </c>
      <c r="K527" s="22" t="s">
        <v>133</v>
      </c>
      <c r="L527" s="29">
        <v>5.0</v>
      </c>
      <c r="M527" s="22" t="s">
        <v>581</v>
      </c>
    </row>
    <row r="528" ht="15.75" customHeight="1">
      <c r="A528" s="22" t="s">
        <v>611</v>
      </c>
      <c r="B528" s="23">
        <v>46128.0</v>
      </c>
      <c r="C528" s="22" t="s">
        <v>38</v>
      </c>
      <c r="D528" s="22" t="s">
        <v>10</v>
      </c>
      <c r="E528" s="29">
        <v>172.0</v>
      </c>
      <c r="F528" s="24">
        <v>845.0</v>
      </c>
      <c r="G528" s="24">
        <v>845.0</v>
      </c>
      <c r="H528" s="24">
        <v>145340.0</v>
      </c>
      <c r="I528" s="24">
        <v>8823.31</v>
      </c>
      <c r="J528" s="24">
        <v>0.0</v>
      </c>
      <c r="K528" s="22" t="s">
        <v>116</v>
      </c>
      <c r="L528" s="29">
        <v>5.0</v>
      </c>
      <c r="M528" s="22" t="s">
        <v>581</v>
      </c>
    </row>
    <row r="529" ht="15.75" customHeight="1">
      <c r="A529" s="22" t="s">
        <v>612</v>
      </c>
      <c r="B529" s="23">
        <v>46128.0</v>
      </c>
      <c r="C529" s="22" t="s">
        <v>48</v>
      </c>
      <c r="D529" s="22" t="s">
        <v>10</v>
      </c>
      <c r="E529" s="29">
        <v>50.0</v>
      </c>
      <c r="F529" s="24">
        <v>850.0</v>
      </c>
      <c r="G529" s="24">
        <v>850.0</v>
      </c>
      <c r="H529" s="24">
        <v>42500.0</v>
      </c>
      <c r="I529" s="24">
        <v>971.74</v>
      </c>
      <c r="J529" s="24">
        <v>349.55</v>
      </c>
      <c r="K529" s="22" t="s">
        <v>114</v>
      </c>
      <c r="L529" s="29">
        <v>1.0</v>
      </c>
      <c r="M529" s="22" t="s">
        <v>581</v>
      </c>
    </row>
    <row r="530" ht="15.75" customHeight="1">
      <c r="A530" s="22" t="s">
        <v>613</v>
      </c>
      <c r="B530" s="23">
        <v>46129.0</v>
      </c>
      <c r="C530" s="22" t="s">
        <v>48</v>
      </c>
      <c r="D530" s="22" t="s">
        <v>10</v>
      </c>
      <c r="E530" s="29">
        <v>297.0</v>
      </c>
      <c r="F530" s="24">
        <v>850.0</v>
      </c>
      <c r="G530" s="24">
        <v>850.0</v>
      </c>
      <c r="H530" s="24">
        <v>252450.0</v>
      </c>
      <c r="I530" s="24">
        <v>11324.98</v>
      </c>
      <c r="J530" s="24">
        <v>0.0</v>
      </c>
      <c r="K530" s="22" t="s">
        <v>116</v>
      </c>
      <c r="L530" s="29">
        <v>8.0</v>
      </c>
      <c r="M530" s="22" t="s">
        <v>581</v>
      </c>
    </row>
    <row r="531" ht="15.75" customHeight="1">
      <c r="A531" s="22" t="s">
        <v>614</v>
      </c>
      <c r="B531" s="23">
        <v>46129.0</v>
      </c>
      <c r="C531" s="22" t="s">
        <v>48</v>
      </c>
      <c r="D531" s="22" t="s">
        <v>49</v>
      </c>
      <c r="E531" s="29">
        <v>193.0</v>
      </c>
      <c r="F531" s="24">
        <v>240.0</v>
      </c>
      <c r="G531" s="24">
        <v>240.0</v>
      </c>
      <c r="H531" s="24">
        <v>46320.0</v>
      </c>
      <c r="I531" s="24">
        <v>996.54</v>
      </c>
      <c r="J531" s="24">
        <v>0.0</v>
      </c>
      <c r="K531" s="22" t="s">
        <v>116</v>
      </c>
      <c r="L531" s="29">
        <v>10.0</v>
      </c>
      <c r="M531" s="22" t="s">
        <v>581</v>
      </c>
    </row>
    <row r="532" ht="15.75" customHeight="1">
      <c r="A532" s="22" t="s">
        <v>615</v>
      </c>
      <c r="B532" s="23">
        <v>46131.0</v>
      </c>
      <c r="C532" s="22" t="s">
        <v>38</v>
      </c>
      <c r="D532" s="22" t="s">
        <v>49</v>
      </c>
      <c r="E532" s="29">
        <v>208.0</v>
      </c>
      <c r="F532" s="24">
        <v>235.0</v>
      </c>
      <c r="G532" s="24">
        <v>235.0</v>
      </c>
      <c r="H532" s="24">
        <v>48880.0</v>
      </c>
      <c r="I532" s="24">
        <v>1726.88</v>
      </c>
      <c r="J532" s="24">
        <v>785.29</v>
      </c>
      <c r="K532" s="22" t="s">
        <v>133</v>
      </c>
      <c r="L532" s="29">
        <v>5.0</v>
      </c>
      <c r="M532" s="22" t="s">
        <v>581</v>
      </c>
    </row>
    <row r="533" ht="15.75" customHeight="1">
      <c r="A533" s="22" t="s">
        <v>616</v>
      </c>
      <c r="B533" s="23">
        <v>46132.0</v>
      </c>
      <c r="C533" s="22" t="s">
        <v>38</v>
      </c>
      <c r="D533" s="22" t="s">
        <v>49</v>
      </c>
      <c r="E533" s="29">
        <v>116.0</v>
      </c>
      <c r="F533" s="24">
        <v>235.0</v>
      </c>
      <c r="G533" s="24">
        <v>235.0</v>
      </c>
      <c r="H533" s="24">
        <v>27260.0</v>
      </c>
      <c r="I533" s="24">
        <v>985.06</v>
      </c>
      <c r="J533" s="24">
        <v>0.0</v>
      </c>
      <c r="K533" s="22" t="s">
        <v>116</v>
      </c>
      <c r="L533" s="29">
        <v>3.0</v>
      </c>
      <c r="M533" s="22" t="s">
        <v>581</v>
      </c>
    </row>
    <row r="534" ht="15.75" customHeight="1">
      <c r="A534" s="22" t="s">
        <v>617</v>
      </c>
      <c r="B534" s="23">
        <v>46132.0</v>
      </c>
      <c r="C534" s="22" t="s">
        <v>38</v>
      </c>
      <c r="D534" s="22" t="s">
        <v>108</v>
      </c>
      <c r="E534" s="29">
        <v>103.0</v>
      </c>
      <c r="F534" s="24">
        <v>1290.0</v>
      </c>
      <c r="G534" s="24">
        <v>1290.0</v>
      </c>
      <c r="H534" s="24">
        <v>132870.0</v>
      </c>
      <c r="I534" s="24">
        <v>7742.78</v>
      </c>
      <c r="J534" s="24">
        <v>1305.89</v>
      </c>
      <c r="K534" s="22" t="s">
        <v>133</v>
      </c>
      <c r="L534" s="29">
        <v>1.0</v>
      </c>
      <c r="M534" s="22" t="s">
        <v>581</v>
      </c>
    </row>
    <row r="535" ht="15.75" customHeight="1">
      <c r="A535" s="22" t="s">
        <v>618</v>
      </c>
      <c r="B535" s="23">
        <v>46132.0</v>
      </c>
      <c r="C535" s="22" t="s">
        <v>38</v>
      </c>
      <c r="D535" s="22" t="s">
        <v>10</v>
      </c>
      <c r="E535" s="29">
        <v>1358.0</v>
      </c>
      <c r="F535" s="24">
        <v>845.0</v>
      </c>
      <c r="G535" s="24">
        <v>845.0</v>
      </c>
      <c r="H535" s="24">
        <v>1147510.0</v>
      </c>
      <c r="I535" s="24">
        <v>32400.38</v>
      </c>
      <c r="J535" s="24">
        <v>12904.09</v>
      </c>
      <c r="K535" s="22" t="s">
        <v>114</v>
      </c>
      <c r="L535" s="29">
        <v>25.0</v>
      </c>
      <c r="M535" s="22" t="s">
        <v>581</v>
      </c>
    </row>
    <row r="536" ht="15.75" customHeight="1">
      <c r="A536" s="22" t="s">
        <v>619</v>
      </c>
      <c r="B536" s="23">
        <v>46132.0</v>
      </c>
      <c r="C536" s="22" t="s">
        <v>56</v>
      </c>
      <c r="D536" s="22" t="s">
        <v>49</v>
      </c>
      <c r="E536" s="29">
        <v>99.0</v>
      </c>
      <c r="F536" s="24">
        <v>230.0</v>
      </c>
      <c r="G536" s="24">
        <v>230.0</v>
      </c>
      <c r="H536" s="24">
        <v>22770.0</v>
      </c>
      <c r="I536" s="24">
        <v>662.92</v>
      </c>
      <c r="J536" s="24">
        <v>0.0</v>
      </c>
      <c r="K536" s="22" t="s">
        <v>116</v>
      </c>
      <c r="L536" s="29">
        <v>11.0</v>
      </c>
      <c r="M536" s="22" t="s">
        <v>581</v>
      </c>
    </row>
    <row r="537" ht="15.75" customHeight="1">
      <c r="A537" s="22" t="s">
        <v>620</v>
      </c>
      <c r="B537" s="23">
        <v>46133.0</v>
      </c>
      <c r="C537" s="22" t="s">
        <v>48</v>
      </c>
      <c r="D537" s="22" t="s">
        <v>10</v>
      </c>
      <c r="E537" s="29">
        <v>362.0</v>
      </c>
      <c r="F537" s="24">
        <v>850.0</v>
      </c>
      <c r="G537" s="24">
        <v>850.0</v>
      </c>
      <c r="H537" s="24">
        <v>307700.0</v>
      </c>
      <c r="I537" s="24">
        <v>8561.28</v>
      </c>
      <c r="J537" s="24">
        <v>2823.28</v>
      </c>
      <c r="K537" s="22" t="s">
        <v>109</v>
      </c>
      <c r="L537" s="29">
        <v>7.0</v>
      </c>
      <c r="M537" s="22" t="s">
        <v>581</v>
      </c>
    </row>
    <row r="538" ht="15.75" customHeight="1">
      <c r="A538" s="22" t="s">
        <v>621</v>
      </c>
      <c r="B538" s="23">
        <v>46133.0</v>
      </c>
      <c r="C538" s="22" t="s">
        <v>56</v>
      </c>
      <c r="D538" s="22" t="s">
        <v>49</v>
      </c>
      <c r="E538" s="29">
        <v>511.0</v>
      </c>
      <c r="F538" s="24">
        <v>230.0</v>
      </c>
      <c r="G538" s="24">
        <v>230.0</v>
      </c>
      <c r="H538" s="24">
        <v>117530.0</v>
      </c>
      <c r="I538" s="24">
        <v>2107.73</v>
      </c>
      <c r="J538" s="24">
        <v>0.0</v>
      </c>
      <c r="K538" s="22" t="s">
        <v>116</v>
      </c>
      <c r="L538" s="29">
        <v>23.0</v>
      </c>
      <c r="M538" s="22" t="s">
        <v>581</v>
      </c>
    </row>
    <row r="539" ht="15.75" customHeight="1">
      <c r="A539" s="22" t="s">
        <v>622</v>
      </c>
      <c r="B539" s="23">
        <v>46134.0</v>
      </c>
      <c r="C539" s="22" t="s">
        <v>38</v>
      </c>
      <c r="D539" s="22" t="s">
        <v>108</v>
      </c>
      <c r="E539" s="29">
        <v>246.0</v>
      </c>
      <c r="F539" s="24">
        <v>1290.0</v>
      </c>
      <c r="G539" s="24">
        <v>1290.0</v>
      </c>
      <c r="H539" s="24">
        <v>317340.0</v>
      </c>
      <c r="I539" s="24">
        <v>8470.75</v>
      </c>
      <c r="J539" s="24">
        <v>1486.46</v>
      </c>
      <c r="K539" s="22" t="s">
        <v>109</v>
      </c>
      <c r="L539" s="29">
        <v>2.0</v>
      </c>
      <c r="M539" s="22" t="s">
        <v>581</v>
      </c>
    </row>
    <row r="540" ht="15.75" customHeight="1">
      <c r="A540" s="22" t="s">
        <v>623</v>
      </c>
      <c r="B540" s="23">
        <v>46135.0</v>
      </c>
      <c r="C540" s="22" t="s">
        <v>38</v>
      </c>
      <c r="D540" s="22" t="s">
        <v>10</v>
      </c>
      <c r="E540" s="29">
        <v>485.0</v>
      </c>
      <c r="F540" s="24">
        <v>845.0</v>
      </c>
      <c r="G540" s="24">
        <v>845.0</v>
      </c>
      <c r="H540" s="24">
        <v>409825.0</v>
      </c>
      <c r="I540" s="24">
        <v>15499.12</v>
      </c>
      <c r="J540" s="24">
        <v>5626.92</v>
      </c>
      <c r="K540" s="22" t="s">
        <v>109</v>
      </c>
      <c r="L540" s="29">
        <v>14.0</v>
      </c>
      <c r="M540" s="22" t="s">
        <v>581</v>
      </c>
    </row>
    <row r="541" ht="15.75" customHeight="1">
      <c r="A541" s="22" t="s">
        <v>624</v>
      </c>
      <c r="B541" s="23">
        <v>46135.0</v>
      </c>
      <c r="C541" s="22" t="s">
        <v>38</v>
      </c>
      <c r="D541" s="22" t="s">
        <v>10</v>
      </c>
      <c r="E541" s="29">
        <v>312.0</v>
      </c>
      <c r="F541" s="24">
        <v>845.0</v>
      </c>
      <c r="G541" s="24">
        <v>845.0</v>
      </c>
      <c r="H541" s="24">
        <v>263640.0</v>
      </c>
      <c r="I541" s="24">
        <v>9271.41</v>
      </c>
      <c r="J541" s="24">
        <v>2389.76</v>
      </c>
      <c r="K541" s="22" t="s">
        <v>114</v>
      </c>
      <c r="L541" s="29">
        <v>5.0</v>
      </c>
      <c r="M541" s="22" t="s">
        <v>581</v>
      </c>
    </row>
    <row r="542" ht="15.75" customHeight="1">
      <c r="A542" s="22" t="s">
        <v>625</v>
      </c>
      <c r="B542" s="23">
        <v>46135.0</v>
      </c>
      <c r="C542" s="22" t="s">
        <v>48</v>
      </c>
      <c r="D542" s="22" t="s">
        <v>108</v>
      </c>
      <c r="E542" s="29">
        <v>170.0</v>
      </c>
      <c r="F542" s="24">
        <v>1300.0</v>
      </c>
      <c r="G542" s="24">
        <v>1300.0</v>
      </c>
      <c r="H542" s="24">
        <v>221000.0</v>
      </c>
      <c r="I542" s="24">
        <v>6323.79</v>
      </c>
      <c r="J542" s="24">
        <v>2587.11</v>
      </c>
      <c r="K542" s="22" t="s">
        <v>114</v>
      </c>
      <c r="L542" s="29">
        <v>1.0</v>
      </c>
      <c r="M542" s="22" t="s">
        <v>581</v>
      </c>
    </row>
    <row r="543" ht="15.75" customHeight="1">
      <c r="A543" s="22" t="s">
        <v>626</v>
      </c>
      <c r="B543" s="23">
        <v>46136.0</v>
      </c>
      <c r="C543" s="22" t="s">
        <v>38</v>
      </c>
      <c r="D543" s="22" t="s">
        <v>10</v>
      </c>
      <c r="E543" s="29">
        <v>59.0</v>
      </c>
      <c r="F543" s="24">
        <v>845.0</v>
      </c>
      <c r="G543" s="24">
        <v>845.0</v>
      </c>
      <c r="H543" s="24">
        <v>49855.0</v>
      </c>
      <c r="I543" s="24">
        <v>2983.31</v>
      </c>
      <c r="J543" s="24">
        <v>209.07</v>
      </c>
      <c r="K543" s="22" t="s">
        <v>112</v>
      </c>
      <c r="L543" s="29">
        <v>2.0</v>
      </c>
      <c r="M543" s="22" t="s">
        <v>581</v>
      </c>
    </row>
    <row r="544" ht="15.75" customHeight="1">
      <c r="A544" s="22" t="s">
        <v>627</v>
      </c>
      <c r="B544" s="23">
        <v>46137.0</v>
      </c>
      <c r="C544" s="22" t="s">
        <v>48</v>
      </c>
      <c r="D544" s="22" t="s">
        <v>108</v>
      </c>
      <c r="E544" s="29">
        <v>591.0</v>
      </c>
      <c r="F544" s="24">
        <v>1300.0</v>
      </c>
      <c r="G544" s="24">
        <v>1300.0</v>
      </c>
      <c r="H544" s="24">
        <v>768300.0</v>
      </c>
      <c r="I544" s="24">
        <v>30260.42</v>
      </c>
      <c r="J544" s="24">
        <v>8542.02</v>
      </c>
      <c r="K544" s="22" t="s">
        <v>133</v>
      </c>
      <c r="L544" s="29">
        <v>10.0</v>
      </c>
      <c r="M544" s="22" t="s">
        <v>581</v>
      </c>
    </row>
    <row r="545" ht="15.75" customHeight="1">
      <c r="A545" s="22" t="s">
        <v>628</v>
      </c>
      <c r="B545" s="23">
        <v>46138.0</v>
      </c>
      <c r="C545" s="22" t="s">
        <v>38</v>
      </c>
      <c r="D545" s="22" t="s">
        <v>10</v>
      </c>
      <c r="E545" s="29">
        <v>111.0</v>
      </c>
      <c r="F545" s="24">
        <v>845.0</v>
      </c>
      <c r="G545" s="24">
        <v>845.0</v>
      </c>
      <c r="H545" s="24">
        <v>93795.0</v>
      </c>
      <c r="I545" s="24">
        <v>3103.21</v>
      </c>
      <c r="J545" s="24">
        <v>457.01</v>
      </c>
      <c r="K545" s="22" t="s">
        <v>112</v>
      </c>
      <c r="L545" s="29">
        <v>1.0</v>
      </c>
      <c r="M545" s="22" t="s">
        <v>581</v>
      </c>
    </row>
    <row r="546" ht="15.75" customHeight="1">
      <c r="A546" s="22" t="s">
        <v>629</v>
      </c>
      <c r="B546" s="23">
        <v>46141.0</v>
      </c>
      <c r="C546" s="22" t="s">
        <v>56</v>
      </c>
      <c r="D546" s="22" t="s">
        <v>10</v>
      </c>
      <c r="E546" s="29">
        <v>132.0</v>
      </c>
      <c r="F546" s="24">
        <v>820.0</v>
      </c>
      <c r="G546" s="24">
        <v>820.0</v>
      </c>
      <c r="H546" s="24">
        <v>108240.0</v>
      </c>
      <c r="I546" s="24">
        <v>3209.6</v>
      </c>
      <c r="J546" s="24">
        <v>0.0</v>
      </c>
      <c r="K546" s="22" t="s">
        <v>116</v>
      </c>
      <c r="L546" s="29">
        <v>2.0</v>
      </c>
      <c r="M546" s="22" t="s">
        <v>581</v>
      </c>
    </row>
    <row r="547" ht="15.75" customHeight="1">
      <c r="A547" s="22" t="s">
        <v>630</v>
      </c>
      <c r="B547" s="23">
        <v>46143.0</v>
      </c>
      <c r="C547" s="22" t="s">
        <v>38</v>
      </c>
      <c r="D547" s="22" t="s">
        <v>10</v>
      </c>
      <c r="E547" s="29">
        <v>123.0</v>
      </c>
      <c r="F547" s="24">
        <v>845.0</v>
      </c>
      <c r="G547" s="24">
        <v>845.0</v>
      </c>
      <c r="H547" s="24">
        <v>103935.0</v>
      </c>
      <c r="I547" s="24">
        <v>2131.51</v>
      </c>
      <c r="J547" s="24">
        <v>0.0</v>
      </c>
      <c r="K547" s="22" t="s">
        <v>116</v>
      </c>
      <c r="L547" s="29">
        <v>2.0</v>
      </c>
      <c r="M547" s="22" t="s">
        <v>631</v>
      </c>
    </row>
    <row r="548" ht="15.75" customHeight="1">
      <c r="A548" s="22" t="s">
        <v>632</v>
      </c>
      <c r="B548" s="23">
        <v>46143.0</v>
      </c>
      <c r="C548" s="22" t="s">
        <v>48</v>
      </c>
      <c r="D548" s="22" t="s">
        <v>49</v>
      </c>
      <c r="E548" s="29">
        <v>248.0</v>
      </c>
      <c r="F548" s="24">
        <v>240.0</v>
      </c>
      <c r="G548" s="24">
        <v>240.0</v>
      </c>
      <c r="H548" s="24">
        <v>59520.0</v>
      </c>
      <c r="I548" s="24">
        <v>1137.74</v>
      </c>
      <c r="J548" s="24">
        <v>0.0</v>
      </c>
      <c r="K548" s="22" t="s">
        <v>116</v>
      </c>
      <c r="L548" s="29">
        <v>11.0</v>
      </c>
      <c r="M548" s="22" t="s">
        <v>631</v>
      </c>
    </row>
    <row r="549" ht="15.75" customHeight="1">
      <c r="A549" s="22" t="s">
        <v>633</v>
      </c>
      <c r="B549" s="23">
        <v>46143.0</v>
      </c>
      <c r="C549" s="22" t="s">
        <v>38</v>
      </c>
      <c r="D549" s="22" t="s">
        <v>108</v>
      </c>
      <c r="E549" s="29">
        <v>506.0</v>
      </c>
      <c r="F549" s="24">
        <v>1290.0</v>
      </c>
      <c r="G549" s="24">
        <v>1290.0</v>
      </c>
      <c r="H549" s="24">
        <v>652740.0</v>
      </c>
      <c r="I549" s="24">
        <v>20532.2</v>
      </c>
      <c r="J549" s="24">
        <v>10795.07</v>
      </c>
      <c r="K549" s="22" t="s">
        <v>109</v>
      </c>
      <c r="L549" s="29">
        <v>5.0</v>
      </c>
      <c r="M549" s="22" t="s">
        <v>631</v>
      </c>
    </row>
    <row r="550" ht="15.75" customHeight="1">
      <c r="A550" s="22" t="s">
        <v>634</v>
      </c>
      <c r="B550" s="23">
        <v>46143.0</v>
      </c>
      <c r="C550" s="22" t="s">
        <v>48</v>
      </c>
      <c r="D550" s="22" t="s">
        <v>10</v>
      </c>
      <c r="E550" s="29">
        <v>331.0</v>
      </c>
      <c r="F550" s="24">
        <v>850.0</v>
      </c>
      <c r="G550" s="24">
        <v>850.0</v>
      </c>
      <c r="H550" s="24">
        <v>281350.0</v>
      </c>
      <c r="I550" s="24">
        <v>8621.53</v>
      </c>
      <c r="J550" s="24">
        <v>1188.42</v>
      </c>
      <c r="K550" s="22" t="s">
        <v>112</v>
      </c>
      <c r="L550" s="29">
        <v>10.0</v>
      </c>
      <c r="M550" s="22" t="s">
        <v>631</v>
      </c>
    </row>
    <row r="551" ht="15.75" customHeight="1">
      <c r="A551" s="22" t="s">
        <v>635</v>
      </c>
      <c r="B551" s="23">
        <v>46143.0</v>
      </c>
      <c r="C551" s="22" t="s">
        <v>48</v>
      </c>
      <c r="D551" s="22" t="s">
        <v>10</v>
      </c>
      <c r="E551" s="29">
        <v>119.0</v>
      </c>
      <c r="F551" s="24">
        <v>850.0</v>
      </c>
      <c r="G551" s="24">
        <v>850.0</v>
      </c>
      <c r="H551" s="24">
        <v>101150.0</v>
      </c>
      <c r="I551" s="24">
        <v>4750.6</v>
      </c>
      <c r="J551" s="24">
        <v>0.0</v>
      </c>
      <c r="K551" s="22" t="s">
        <v>116</v>
      </c>
      <c r="L551" s="29">
        <v>3.0</v>
      </c>
      <c r="M551" s="22" t="s">
        <v>631</v>
      </c>
    </row>
    <row r="552" ht="15.75" customHeight="1">
      <c r="A552" s="22" t="s">
        <v>636</v>
      </c>
      <c r="B552" s="23">
        <v>46143.0</v>
      </c>
      <c r="C552" s="22" t="s">
        <v>48</v>
      </c>
      <c r="D552" s="22" t="s">
        <v>10</v>
      </c>
      <c r="E552" s="29">
        <v>429.0</v>
      </c>
      <c r="F552" s="24">
        <v>850.0</v>
      </c>
      <c r="G552" s="24">
        <v>850.0</v>
      </c>
      <c r="H552" s="24">
        <v>364650.0</v>
      </c>
      <c r="I552" s="24">
        <v>11501.16</v>
      </c>
      <c r="J552" s="24">
        <v>1716.97</v>
      </c>
      <c r="K552" s="22" t="s">
        <v>114</v>
      </c>
      <c r="L552" s="29">
        <v>11.0</v>
      </c>
      <c r="M552" s="22" t="s">
        <v>631</v>
      </c>
    </row>
    <row r="553" ht="15.75" customHeight="1">
      <c r="A553" s="22" t="s">
        <v>637</v>
      </c>
      <c r="B553" s="23">
        <v>46144.0</v>
      </c>
      <c r="C553" s="22" t="s">
        <v>48</v>
      </c>
      <c r="D553" s="22" t="s">
        <v>10</v>
      </c>
      <c r="E553" s="29">
        <v>318.0</v>
      </c>
      <c r="F553" s="24">
        <v>850.0</v>
      </c>
      <c r="G553" s="24">
        <v>850.0</v>
      </c>
      <c r="H553" s="24">
        <v>270300.0</v>
      </c>
      <c r="I553" s="24">
        <v>13530.42</v>
      </c>
      <c r="J553" s="24">
        <v>3495.52</v>
      </c>
      <c r="K553" s="22" t="s">
        <v>114</v>
      </c>
      <c r="L553" s="29">
        <v>6.0</v>
      </c>
      <c r="M553" s="22" t="s">
        <v>631</v>
      </c>
    </row>
    <row r="554" ht="15.75" customHeight="1">
      <c r="A554" s="22" t="s">
        <v>638</v>
      </c>
      <c r="B554" s="23">
        <v>46144.0</v>
      </c>
      <c r="C554" s="22" t="s">
        <v>48</v>
      </c>
      <c r="D554" s="22" t="s">
        <v>108</v>
      </c>
      <c r="E554" s="29">
        <v>101.0</v>
      </c>
      <c r="F554" s="24">
        <v>1300.0</v>
      </c>
      <c r="G554" s="24">
        <v>1300.0</v>
      </c>
      <c r="H554" s="24">
        <v>131300.0</v>
      </c>
      <c r="I554" s="24">
        <v>6296.37</v>
      </c>
      <c r="J554" s="24">
        <v>0.0</v>
      </c>
      <c r="K554" s="22" t="s">
        <v>116</v>
      </c>
      <c r="L554" s="29">
        <v>1.0</v>
      </c>
      <c r="M554" s="22" t="s">
        <v>631</v>
      </c>
    </row>
    <row r="555" ht="15.75" customHeight="1">
      <c r="A555" s="22" t="s">
        <v>639</v>
      </c>
      <c r="B555" s="23">
        <v>46144.0</v>
      </c>
      <c r="C555" s="22" t="s">
        <v>38</v>
      </c>
      <c r="D555" s="22" t="s">
        <v>108</v>
      </c>
      <c r="E555" s="29">
        <v>519.0</v>
      </c>
      <c r="F555" s="24">
        <v>1290.0</v>
      </c>
      <c r="G555" s="24">
        <v>1290.0</v>
      </c>
      <c r="H555" s="24">
        <v>669510.0</v>
      </c>
      <c r="I555" s="24">
        <v>29498.24</v>
      </c>
      <c r="J555" s="24">
        <v>10229.36</v>
      </c>
      <c r="K555" s="22" t="s">
        <v>114</v>
      </c>
      <c r="L555" s="29">
        <v>9.0</v>
      </c>
      <c r="M555" s="22" t="s">
        <v>631</v>
      </c>
    </row>
    <row r="556" ht="15.75" customHeight="1">
      <c r="A556" s="22" t="s">
        <v>640</v>
      </c>
      <c r="B556" s="23">
        <v>46144.0</v>
      </c>
      <c r="C556" s="22" t="s">
        <v>38</v>
      </c>
      <c r="D556" s="22" t="s">
        <v>49</v>
      </c>
      <c r="E556" s="29">
        <v>515.0</v>
      </c>
      <c r="F556" s="24">
        <v>235.0</v>
      </c>
      <c r="G556" s="24">
        <v>235.0</v>
      </c>
      <c r="H556" s="24">
        <v>121025.0</v>
      </c>
      <c r="I556" s="24">
        <v>4564.56</v>
      </c>
      <c r="J556" s="24">
        <v>173.55</v>
      </c>
      <c r="K556" s="22" t="s">
        <v>112</v>
      </c>
      <c r="L556" s="29">
        <v>7.0</v>
      </c>
      <c r="M556" s="22" t="s">
        <v>631</v>
      </c>
    </row>
    <row r="557" ht="15.75" customHeight="1">
      <c r="A557" s="22" t="s">
        <v>641</v>
      </c>
      <c r="B557" s="23">
        <v>46144.0</v>
      </c>
      <c r="C557" s="22" t="s">
        <v>56</v>
      </c>
      <c r="D557" s="22" t="s">
        <v>10</v>
      </c>
      <c r="E557" s="29">
        <v>303.0</v>
      </c>
      <c r="F557" s="24">
        <v>820.0</v>
      </c>
      <c r="G557" s="24">
        <v>820.0</v>
      </c>
      <c r="H557" s="24">
        <v>248460.0</v>
      </c>
      <c r="I557" s="24">
        <v>6686.6</v>
      </c>
      <c r="J557" s="24">
        <v>0.0</v>
      </c>
      <c r="K557" s="22" t="s">
        <v>116</v>
      </c>
      <c r="L557" s="29">
        <v>11.0</v>
      </c>
      <c r="M557" s="22" t="s">
        <v>631</v>
      </c>
    </row>
    <row r="558" ht="15.75" customHeight="1">
      <c r="A558" s="22" t="s">
        <v>642</v>
      </c>
      <c r="B558" s="23">
        <v>46144.0</v>
      </c>
      <c r="C558" s="22" t="s">
        <v>48</v>
      </c>
      <c r="D558" s="22" t="s">
        <v>49</v>
      </c>
      <c r="E558" s="29">
        <v>289.0</v>
      </c>
      <c r="F558" s="24">
        <v>240.0</v>
      </c>
      <c r="G558" s="24">
        <v>240.0</v>
      </c>
      <c r="H558" s="24">
        <v>69360.0</v>
      </c>
      <c r="I558" s="24">
        <v>1844.47</v>
      </c>
      <c r="J558" s="24">
        <v>0.0</v>
      </c>
      <c r="K558" s="22" t="s">
        <v>116</v>
      </c>
      <c r="L558" s="29">
        <v>7.0</v>
      </c>
      <c r="M558" s="22" t="s">
        <v>631</v>
      </c>
    </row>
    <row r="559" ht="15.75" customHeight="1">
      <c r="A559" s="22" t="s">
        <v>643</v>
      </c>
      <c r="B559" s="23">
        <v>46145.0</v>
      </c>
      <c r="C559" s="22" t="s">
        <v>48</v>
      </c>
      <c r="D559" s="22" t="s">
        <v>10</v>
      </c>
      <c r="E559" s="29">
        <v>104.0</v>
      </c>
      <c r="F559" s="24">
        <v>850.0</v>
      </c>
      <c r="G559" s="24">
        <v>850.0</v>
      </c>
      <c r="H559" s="24">
        <v>88400.0</v>
      </c>
      <c r="I559" s="24">
        <v>2307.66</v>
      </c>
      <c r="J559" s="24">
        <v>327.52</v>
      </c>
      <c r="K559" s="22" t="s">
        <v>114</v>
      </c>
      <c r="L559" s="29">
        <v>1.0</v>
      </c>
      <c r="M559" s="22" t="s">
        <v>631</v>
      </c>
    </row>
    <row r="560" ht="15.75" customHeight="1">
      <c r="A560" s="22" t="s">
        <v>644</v>
      </c>
      <c r="B560" s="23">
        <v>46146.0</v>
      </c>
      <c r="C560" s="22" t="s">
        <v>38</v>
      </c>
      <c r="D560" s="22" t="s">
        <v>108</v>
      </c>
      <c r="E560" s="29">
        <v>691.0</v>
      </c>
      <c r="F560" s="24">
        <v>1290.0</v>
      </c>
      <c r="G560" s="24">
        <v>1290.0</v>
      </c>
      <c r="H560" s="24">
        <v>891390.0</v>
      </c>
      <c r="I560" s="24">
        <v>57873.59</v>
      </c>
      <c r="J560" s="24">
        <v>0.0</v>
      </c>
      <c r="K560" s="22" t="s">
        <v>116</v>
      </c>
      <c r="L560" s="29">
        <v>11.0</v>
      </c>
      <c r="M560" s="22" t="s">
        <v>631</v>
      </c>
    </row>
    <row r="561" ht="15.75" customHeight="1">
      <c r="A561" s="22" t="s">
        <v>645</v>
      </c>
      <c r="B561" s="23">
        <v>46147.0</v>
      </c>
      <c r="C561" s="22" t="s">
        <v>38</v>
      </c>
      <c r="D561" s="22" t="s">
        <v>49</v>
      </c>
      <c r="E561" s="29">
        <v>372.0</v>
      </c>
      <c r="F561" s="24">
        <v>235.0</v>
      </c>
      <c r="G561" s="24">
        <v>235.0</v>
      </c>
      <c r="H561" s="24">
        <v>87420.0</v>
      </c>
      <c r="I561" s="24">
        <v>2559.14</v>
      </c>
      <c r="J561" s="24">
        <v>0.0</v>
      </c>
      <c r="K561" s="22" t="s">
        <v>116</v>
      </c>
      <c r="L561" s="29">
        <v>9.0</v>
      </c>
      <c r="M561" s="22" t="s">
        <v>631</v>
      </c>
    </row>
    <row r="562" ht="15.75" customHeight="1">
      <c r="A562" s="22" t="s">
        <v>646</v>
      </c>
      <c r="B562" s="23">
        <v>46147.0</v>
      </c>
      <c r="C562" s="22" t="s">
        <v>48</v>
      </c>
      <c r="D562" s="22" t="s">
        <v>49</v>
      </c>
      <c r="E562" s="29">
        <v>222.0</v>
      </c>
      <c r="F562" s="24">
        <v>240.0</v>
      </c>
      <c r="G562" s="24">
        <v>240.0</v>
      </c>
      <c r="H562" s="24">
        <v>53280.0</v>
      </c>
      <c r="I562" s="24">
        <v>2314.34</v>
      </c>
      <c r="J562" s="24">
        <v>0.0</v>
      </c>
      <c r="K562" s="22" t="s">
        <v>116</v>
      </c>
      <c r="L562" s="29">
        <v>5.0</v>
      </c>
      <c r="M562" s="22" t="s">
        <v>631</v>
      </c>
    </row>
    <row r="563" ht="15.75" customHeight="1">
      <c r="A563" s="22" t="s">
        <v>647</v>
      </c>
      <c r="B563" s="23">
        <v>46149.0</v>
      </c>
      <c r="C563" s="22" t="s">
        <v>38</v>
      </c>
      <c r="D563" s="22" t="s">
        <v>10</v>
      </c>
      <c r="E563" s="29">
        <v>482.0</v>
      </c>
      <c r="F563" s="24">
        <v>845.0</v>
      </c>
      <c r="G563" s="24">
        <v>845.0</v>
      </c>
      <c r="H563" s="24">
        <v>407290.0</v>
      </c>
      <c r="I563" s="24">
        <v>18287.85</v>
      </c>
      <c r="J563" s="24">
        <v>7222.61</v>
      </c>
      <c r="K563" s="22" t="s">
        <v>112</v>
      </c>
      <c r="L563" s="29">
        <v>7.0</v>
      </c>
      <c r="M563" s="22" t="s">
        <v>631</v>
      </c>
    </row>
    <row r="564" ht="15.75" customHeight="1">
      <c r="A564" s="22" t="s">
        <v>648</v>
      </c>
      <c r="B564" s="23">
        <v>46149.0</v>
      </c>
      <c r="C564" s="22" t="s">
        <v>38</v>
      </c>
      <c r="D564" s="22" t="s">
        <v>10</v>
      </c>
      <c r="E564" s="29">
        <v>68.0</v>
      </c>
      <c r="F564" s="24">
        <v>845.0</v>
      </c>
      <c r="G564" s="24">
        <v>845.0</v>
      </c>
      <c r="H564" s="24">
        <v>57460.0</v>
      </c>
      <c r="I564" s="24">
        <v>3416.12</v>
      </c>
      <c r="J564" s="24">
        <v>0.0</v>
      </c>
      <c r="K564" s="22" t="s">
        <v>116</v>
      </c>
      <c r="L564" s="29">
        <v>1.0</v>
      </c>
      <c r="M564" s="22" t="s">
        <v>631</v>
      </c>
    </row>
    <row r="565" ht="15.75" customHeight="1">
      <c r="A565" s="22" t="s">
        <v>649</v>
      </c>
      <c r="B565" s="23">
        <v>46149.0</v>
      </c>
      <c r="C565" s="22" t="s">
        <v>38</v>
      </c>
      <c r="D565" s="22" t="s">
        <v>10</v>
      </c>
      <c r="E565" s="29">
        <v>182.0</v>
      </c>
      <c r="F565" s="24">
        <v>845.0</v>
      </c>
      <c r="G565" s="24">
        <v>845.0</v>
      </c>
      <c r="H565" s="24">
        <v>153790.0</v>
      </c>
      <c r="I565" s="24">
        <v>6574.24</v>
      </c>
      <c r="J565" s="24">
        <v>1242.21</v>
      </c>
      <c r="K565" s="22" t="s">
        <v>114</v>
      </c>
      <c r="L565" s="29">
        <v>2.0</v>
      </c>
      <c r="M565" s="22" t="s">
        <v>631</v>
      </c>
    </row>
    <row r="566" ht="15.75" customHeight="1">
      <c r="A566" s="22" t="s">
        <v>650</v>
      </c>
      <c r="B566" s="23">
        <v>46150.0</v>
      </c>
      <c r="C566" s="22" t="s">
        <v>38</v>
      </c>
      <c r="D566" s="22" t="s">
        <v>49</v>
      </c>
      <c r="E566" s="29">
        <v>104.0</v>
      </c>
      <c r="F566" s="24">
        <v>235.0</v>
      </c>
      <c r="G566" s="24">
        <v>235.0</v>
      </c>
      <c r="H566" s="24">
        <v>24440.0</v>
      </c>
      <c r="I566" s="24">
        <v>978.57</v>
      </c>
      <c r="J566" s="24">
        <v>255.29</v>
      </c>
      <c r="K566" s="22" t="s">
        <v>112</v>
      </c>
      <c r="L566" s="29">
        <v>4.0</v>
      </c>
      <c r="M566" s="22" t="s">
        <v>631</v>
      </c>
    </row>
    <row r="567" ht="15.75" customHeight="1">
      <c r="A567" s="22" t="s">
        <v>651</v>
      </c>
      <c r="B567" s="23">
        <v>46151.0</v>
      </c>
      <c r="C567" s="22" t="s">
        <v>38</v>
      </c>
      <c r="D567" s="22" t="s">
        <v>49</v>
      </c>
      <c r="E567" s="29">
        <v>481.0</v>
      </c>
      <c r="F567" s="24">
        <v>235.0</v>
      </c>
      <c r="G567" s="24">
        <v>235.0</v>
      </c>
      <c r="H567" s="24">
        <v>113035.0</v>
      </c>
      <c r="I567" s="24">
        <v>5762.42</v>
      </c>
      <c r="J567" s="24">
        <v>0.0</v>
      </c>
      <c r="K567" s="22" t="s">
        <v>116</v>
      </c>
      <c r="L567" s="29">
        <v>7.0</v>
      </c>
      <c r="M567" s="22" t="s">
        <v>631</v>
      </c>
    </row>
    <row r="568" ht="15.75" customHeight="1">
      <c r="A568" s="22" t="s">
        <v>652</v>
      </c>
      <c r="B568" s="23">
        <v>46151.0</v>
      </c>
      <c r="C568" s="22" t="s">
        <v>38</v>
      </c>
      <c r="D568" s="22" t="s">
        <v>49</v>
      </c>
      <c r="E568" s="29">
        <v>103.0</v>
      </c>
      <c r="F568" s="24">
        <v>235.0</v>
      </c>
      <c r="G568" s="24">
        <v>235.0</v>
      </c>
      <c r="H568" s="24">
        <v>24205.0</v>
      </c>
      <c r="I568" s="24">
        <v>703.37</v>
      </c>
      <c r="J568" s="24">
        <v>0.0</v>
      </c>
      <c r="K568" s="22" t="s">
        <v>116</v>
      </c>
      <c r="L568" s="29">
        <v>3.0</v>
      </c>
      <c r="M568" s="22" t="s">
        <v>631</v>
      </c>
    </row>
    <row r="569" ht="15.75" customHeight="1">
      <c r="A569" s="22" t="s">
        <v>653</v>
      </c>
      <c r="B569" s="23">
        <v>46151.0</v>
      </c>
      <c r="C569" s="22" t="s">
        <v>56</v>
      </c>
      <c r="D569" s="22" t="s">
        <v>10</v>
      </c>
      <c r="E569" s="29">
        <v>95.0</v>
      </c>
      <c r="F569" s="24">
        <v>820.0</v>
      </c>
      <c r="G569" s="24">
        <v>820.0</v>
      </c>
      <c r="H569" s="24">
        <v>77900.0</v>
      </c>
      <c r="I569" s="24">
        <v>2392.9</v>
      </c>
      <c r="J569" s="24">
        <v>177.9</v>
      </c>
      <c r="K569" s="22" t="s">
        <v>109</v>
      </c>
      <c r="L569" s="29">
        <v>3.0</v>
      </c>
      <c r="M569" s="22" t="s">
        <v>631</v>
      </c>
    </row>
    <row r="570" ht="15.75" customHeight="1">
      <c r="A570" s="22" t="s">
        <v>654</v>
      </c>
      <c r="B570" s="23">
        <v>46152.0</v>
      </c>
      <c r="C570" s="22" t="s">
        <v>38</v>
      </c>
      <c r="D570" s="22" t="s">
        <v>10</v>
      </c>
      <c r="E570" s="29">
        <v>252.0</v>
      </c>
      <c r="F570" s="24">
        <v>845.0</v>
      </c>
      <c r="G570" s="24">
        <v>845.0</v>
      </c>
      <c r="H570" s="24">
        <v>212940.0</v>
      </c>
      <c r="I570" s="24">
        <v>11550.85</v>
      </c>
      <c r="J570" s="24">
        <v>0.0</v>
      </c>
      <c r="K570" s="22" t="s">
        <v>116</v>
      </c>
      <c r="L570" s="29">
        <v>4.0</v>
      </c>
      <c r="M570" s="22" t="s">
        <v>631</v>
      </c>
    </row>
    <row r="571" ht="15.75" customHeight="1">
      <c r="A571" s="22" t="s">
        <v>655</v>
      </c>
      <c r="B571" s="23">
        <v>46152.0</v>
      </c>
      <c r="C571" s="22" t="s">
        <v>38</v>
      </c>
      <c r="D571" s="22" t="s">
        <v>108</v>
      </c>
      <c r="E571" s="29">
        <v>281.0</v>
      </c>
      <c r="F571" s="24">
        <v>1290.0</v>
      </c>
      <c r="G571" s="24">
        <v>1290.0</v>
      </c>
      <c r="H571" s="24">
        <v>362490.0</v>
      </c>
      <c r="I571" s="24">
        <v>16011.73</v>
      </c>
      <c r="J571" s="24">
        <v>0.0</v>
      </c>
      <c r="K571" s="22" t="s">
        <v>116</v>
      </c>
      <c r="L571" s="29">
        <v>7.0</v>
      </c>
      <c r="M571" s="22" t="s">
        <v>631</v>
      </c>
    </row>
    <row r="572" ht="15.75" customHeight="1">
      <c r="A572" s="22" t="s">
        <v>656</v>
      </c>
      <c r="B572" s="23">
        <v>46152.0</v>
      </c>
      <c r="C572" s="22" t="s">
        <v>56</v>
      </c>
      <c r="D572" s="22" t="s">
        <v>10</v>
      </c>
      <c r="E572" s="29">
        <v>390.0</v>
      </c>
      <c r="F572" s="24">
        <v>820.0</v>
      </c>
      <c r="G572" s="24">
        <v>820.0</v>
      </c>
      <c r="H572" s="24">
        <v>319800.0</v>
      </c>
      <c r="I572" s="24">
        <v>5128.43</v>
      </c>
      <c r="J572" s="24">
        <v>3396.14</v>
      </c>
      <c r="K572" s="22" t="s">
        <v>112</v>
      </c>
      <c r="L572" s="29">
        <v>10.0</v>
      </c>
      <c r="M572" s="22" t="s">
        <v>631</v>
      </c>
    </row>
    <row r="573" ht="15.75" customHeight="1">
      <c r="A573" s="22" t="s">
        <v>657</v>
      </c>
      <c r="B573" s="23">
        <v>46152.0</v>
      </c>
      <c r="C573" s="22" t="s">
        <v>48</v>
      </c>
      <c r="D573" s="22" t="s">
        <v>10</v>
      </c>
      <c r="E573" s="29">
        <v>139.0</v>
      </c>
      <c r="F573" s="24">
        <v>850.0</v>
      </c>
      <c r="G573" s="24">
        <v>850.0</v>
      </c>
      <c r="H573" s="24">
        <v>118150.0</v>
      </c>
      <c r="I573" s="24">
        <v>6271.63</v>
      </c>
      <c r="J573" s="24">
        <v>1248.88</v>
      </c>
      <c r="K573" s="22" t="s">
        <v>114</v>
      </c>
      <c r="L573" s="29">
        <v>5.0</v>
      </c>
      <c r="M573" s="22" t="s">
        <v>631</v>
      </c>
    </row>
    <row r="574" ht="15.75" customHeight="1">
      <c r="A574" s="22" t="s">
        <v>658</v>
      </c>
      <c r="B574" s="23">
        <v>46152.0</v>
      </c>
      <c r="C574" s="22" t="s">
        <v>48</v>
      </c>
      <c r="D574" s="22" t="s">
        <v>49</v>
      </c>
      <c r="E574" s="29">
        <v>189.0</v>
      </c>
      <c r="F574" s="24">
        <v>240.0</v>
      </c>
      <c r="G574" s="24">
        <v>240.0</v>
      </c>
      <c r="H574" s="24">
        <v>45360.0</v>
      </c>
      <c r="I574" s="24">
        <v>1690.42</v>
      </c>
      <c r="J574" s="24">
        <v>258.81</v>
      </c>
      <c r="K574" s="22" t="s">
        <v>133</v>
      </c>
      <c r="L574" s="29">
        <v>6.0</v>
      </c>
      <c r="M574" s="22" t="s">
        <v>631</v>
      </c>
    </row>
    <row r="575" ht="15.75" customHeight="1">
      <c r="A575" s="22" t="s">
        <v>659</v>
      </c>
      <c r="B575" s="23">
        <v>46154.0</v>
      </c>
      <c r="C575" s="22" t="s">
        <v>48</v>
      </c>
      <c r="D575" s="22" t="s">
        <v>108</v>
      </c>
      <c r="E575" s="29">
        <v>400.0</v>
      </c>
      <c r="F575" s="24">
        <v>1300.0</v>
      </c>
      <c r="G575" s="24">
        <v>1300.0</v>
      </c>
      <c r="H575" s="24">
        <v>520000.0</v>
      </c>
      <c r="I575" s="24">
        <v>9756.02</v>
      </c>
      <c r="J575" s="24">
        <v>0.0</v>
      </c>
      <c r="K575" s="22" t="s">
        <v>116</v>
      </c>
      <c r="L575" s="29">
        <v>5.0</v>
      </c>
      <c r="M575" s="22" t="s">
        <v>631</v>
      </c>
    </row>
    <row r="576" ht="15.75" customHeight="1">
      <c r="A576" s="22" t="s">
        <v>660</v>
      </c>
      <c r="B576" s="23">
        <v>46155.0</v>
      </c>
      <c r="C576" s="22" t="s">
        <v>38</v>
      </c>
      <c r="D576" s="22" t="s">
        <v>108</v>
      </c>
      <c r="E576" s="29">
        <v>154.0</v>
      </c>
      <c r="F576" s="24">
        <v>1290.0</v>
      </c>
      <c r="G576" s="24">
        <v>1290.0</v>
      </c>
      <c r="H576" s="24">
        <v>198660.0</v>
      </c>
      <c r="I576" s="24">
        <v>14803.35</v>
      </c>
      <c r="J576" s="24">
        <v>623.02</v>
      </c>
      <c r="K576" s="22" t="s">
        <v>112</v>
      </c>
      <c r="L576" s="29">
        <v>3.0</v>
      </c>
      <c r="M576" s="22" t="s">
        <v>631</v>
      </c>
    </row>
    <row r="577" ht="15.75" customHeight="1">
      <c r="A577" s="22" t="s">
        <v>661</v>
      </c>
      <c r="B577" s="23">
        <v>46156.0</v>
      </c>
      <c r="C577" s="22" t="s">
        <v>38</v>
      </c>
      <c r="D577" s="22" t="s">
        <v>10</v>
      </c>
      <c r="E577" s="29">
        <v>557.0</v>
      </c>
      <c r="F577" s="24">
        <v>845.0</v>
      </c>
      <c r="G577" s="24">
        <v>845.0</v>
      </c>
      <c r="H577" s="24">
        <v>470665.0</v>
      </c>
      <c r="I577" s="24">
        <v>12627.12</v>
      </c>
      <c r="J577" s="24">
        <v>0.0</v>
      </c>
      <c r="K577" s="22" t="s">
        <v>116</v>
      </c>
      <c r="L577" s="29">
        <v>13.0</v>
      </c>
      <c r="M577" s="22" t="s">
        <v>631</v>
      </c>
    </row>
    <row r="578" ht="15.75" customHeight="1">
      <c r="A578" s="22" t="s">
        <v>662</v>
      </c>
      <c r="B578" s="23">
        <v>46157.0</v>
      </c>
      <c r="C578" s="22" t="s">
        <v>38</v>
      </c>
      <c r="D578" s="22" t="s">
        <v>49</v>
      </c>
      <c r="E578" s="29">
        <v>314.0</v>
      </c>
      <c r="F578" s="24">
        <v>235.0</v>
      </c>
      <c r="G578" s="24">
        <v>235.0</v>
      </c>
      <c r="H578" s="24">
        <v>73790.0</v>
      </c>
      <c r="I578" s="24">
        <v>2183.56</v>
      </c>
      <c r="J578" s="24">
        <v>0.0</v>
      </c>
      <c r="K578" s="22" t="s">
        <v>116</v>
      </c>
      <c r="L578" s="29">
        <v>7.0</v>
      </c>
      <c r="M578" s="22" t="s">
        <v>631</v>
      </c>
    </row>
    <row r="579" ht="15.75" customHeight="1">
      <c r="A579" s="22" t="s">
        <v>663</v>
      </c>
      <c r="B579" s="23">
        <v>46157.0</v>
      </c>
      <c r="C579" s="22" t="s">
        <v>48</v>
      </c>
      <c r="D579" s="22" t="s">
        <v>108</v>
      </c>
      <c r="E579" s="29">
        <v>207.0</v>
      </c>
      <c r="F579" s="24">
        <v>1300.0</v>
      </c>
      <c r="G579" s="24">
        <v>1300.0</v>
      </c>
      <c r="H579" s="24">
        <v>269100.0</v>
      </c>
      <c r="I579" s="24">
        <v>12095.3</v>
      </c>
      <c r="J579" s="24">
        <v>0.0</v>
      </c>
      <c r="K579" s="22" t="s">
        <v>116</v>
      </c>
      <c r="L579" s="29">
        <v>0.0</v>
      </c>
      <c r="M579" s="22" t="s">
        <v>631</v>
      </c>
    </row>
    <row r="580" ht="15.75" customHeight="1">
      <c r="A580" s="22" t="s">
        <v>664</v>
      </c>
      <c r="B580" s="23">
        <v>46157.0</v>
      </c>
      <c r="C580" s="22" t="s">
        <v>38</v>
      </c>
      <c r="D580" s="22" t="s">
        <v>10</v>
      </c>
      <c r="E580" s="29">
        <v>136.0</v>
      </c>
      <c r="F580" s="24">
        <v>845.0</v>
      </c>
      <c r="G580" s="24">
        <v>845.0</v>
      </c>
      <c r="H580" s="24">
        <v>114920.0</v>
      </c>
      <c r="I580" s="24">
        <v>2441.59</v>
      </c>
      <c r="J580" s="24">
        <v>1863.27</v>
      </c>
      <c r="K580" s="22" t="s">
        <v>133</v>
      </c>
      <c r="L580" s="29">
        <v>3.0</v>
      </c>
      <c r="M580" s="22" t="s">
        <v>631</v>
      </c>
    </row>
    <row r="581" ht="15.75" customHeight="1">
      <c r="A581" s="22" t="s">
        <v>665</v>
      </c>
      <c r="B581" s="23">
        <v>46158.0</v>
      </c>
      <c r="C581" s="22" t="s">
        <v>38</v>
      </c>
      <c r="D581" s="22" t="s">
        <v>49</v>
      </c>
      <c r="E581" s="29">
        <v>508.0</v>
      </c>
      <c r="F581" s="24">
        <v>235.0</v>
      </c>
      <c r="G581" s="24">
        <v>235.0</v>
      </c>
      <c r="H581" s="24">
        <v>119380.0</v>
      </c>
      <c r="I581" s="24">
        <v>6819.1</v>
      </c>
      <c r="J581" s="24">
        <v>2096.52</v>
      </c>
      <c r="K581" s="22" t="s">
        <v>114</v>
      </c>
      <c r="L581" s="29">
        <v>14.0</v>
      </c>
      <c r="M581" s="22" t="s">
        <v>631</v>
      </c>
    </row>
    <row r="582" ht="15.75" customHeight="1">
      <c r="A582" s="22" t="s">
        <v>666</v>
      </c>
      <c r="B582" s="23">
        <v>46158.0</v>
      </c>
      <c r="C582" s="22" t="s">
        <v>38</v>
      </c>
      <c r="D582" s="22" t="s">
        <v>108</v>
      </c>
      <c r="E582" s="29">
        <v>255.0</v>
      </c>
      <c r="F582" s="24">
        <v>1290.0</v>
      </c>
      <c r="G582" s="24">
        <v>1290.0</v>
      </c>
      <c r="H582" s="24">
        <v>328950.0</v>
      </c>
      <c r="I582" s="24">
        <v>9693.72</v>
      </c>
      <c r="J582" s="24">
        <v>0.0</v>
      </c>
      <c r="K582" s="22" t="s">
        <v>116</v>
      </c>
      <c r="L582" s="29">
        <v>3.0</v>
      </c>
      <c r="M582" s="22" t="s">
        <v>631</v>
      </c>
    </row>
    <row r="583" ht="15.75" customHeight="1">
      <c r="A583" s="22" t="s">
        <v>667</v>
      </c>
      <c r="B583" s="23">
        <v>46158.0</v>
      </c>
      <c r="C583" s="22" t="s">
        <v>48</v>
      </c>
      <c r="D583" s="22" t="s">
        <v>10</v>
      </c>
      <c r="E583" s="29">
        <v>214.0</v>
      </c>
      <c r="F583" s="24">
        <v>850.0</v>
      </c>
      <c r="G583" s="24">
        <v>850.0</v>
      </c>
      <c r="H583" s="24">
        <v>181900.0</v>
      </c>
      <c r="I583" s="24">
        <v>10352.82</v>
      </c>
      <c r="J583" s="24">
        <v>0.0</v>
      </c>
      <c r="K583" s="22" t="s">
        <v>116</v>
      </c>
      <c r="L583" s="29">
        <v>2.0</v>
      </c>
      <c r="M583" s="22" t="s">
        <v>631</v>
      </c>
    </row>
    <row r="584" ht="15.75" customHeight="1">
      <c r="A584" s="22" t="s">
        <v>668</v>
      </c>
      <c r="B584" s="23">
        <v>46159.0</v>
      </c>
      <c r="C584" s="22" t="s">
        <v>38</v>
      </c>
      <c r="D584" s="22" t="s">
        <v>10</v>
      </c>
      <c r="E584" s="29">
        <v>827.0</v>
      </c>
      <c r="F584" s="24">
        <v>845.0</v>
      </c>
      <c r="G584" s="24">
        <v>845.0</v>
      </c>
      <c r="H584" s="24">
        <v>698815.0</v>
      </c>
      <c r="I584" s="24">
        <v>48989.88</v>
      </c>
      <c r="J584" s="24">
        <v>6029.68</v>
      </c>
      <c r="K584" s="22" t="s">
        <v>133</v>
      </c>
      <c r="L584" s="29">
        <v>15.0</v>
      </c>
      <c r="M584" s="22" t="s">
        <v>631</v>
      </c>
    </row>
    <row r="585" ht="15.75" customHeight="1">
      <c r="A585" s="22" t="s">
        <v>669</v>
      </c>
      <c r="B585" s="23">
        <v>46160.0</v>
      </c>
      <c r="C585" s="22" t="s">
        <v>48</v>
      </c>
      <c r="D585" s="22" t="s">
        <v>10</v>
      </c>
      <c r="E585" s="29">
        <v>466.0</v>
      </c>
      <c r="F585" s="24">
        <v>850.0</v>
      </c>
      <c r="G585" s="24">
        <v>850.0</v>
      </c>
      <c r="H585" s="24">
        <v>396100.0</v>
      </c>
      <c r="I585" s="24">
        <v>8121.75</v>
      </c>
      <c r="J585" s="24">
        <v>1061.15</v>
      </c>
      <c r="K585" s="22" t="s">
        <v>133</v>
      </c>
      <c r="L585" s="29">
        <v>9.0</v>
      </c>
      <c r="M585" s="22" t="s">
        <v>631</v>
      </c>
    </row>
    <row r="586" ht="15.75" customHeight="1">
      <c r="A586" s="22" t="s">
        <v>670</v>
      </c>
      <c r="B586" s="23">
        <v>46160.0</v>
      </c>
      <c r="C586" s="22" t="s">
        <v>38</v>
      </c>
      <c r="D586" s="22" t="s">
        <v>10</v>
      </c>
      <c r="E586" s="29">
        <v>250.0</v>
      </c>
      <c r="F586" s="24">
        <v>845.0</v>
      </c>
      <c r="G586" s="24">
        <v>845.0</v>
      </c>
      <c r="H586" s="24">
        <v>211250.0</v>
      </c>
      <c r="I586" s="24">
        <v>6467.12</v>
      </c>
      <c r="J586" s="24">
        <v>0.0</v>
      </c>
      <c r="K586" s="22" t="s">
        <v>116</v>
      </c>
      <c r="L586" s="29">
        <v>7.0</v>
      </c>
      <c r="M586" s="22" t="s">
        <v>631</v>
      </c>
    </row>
    <row r="587" ht="15.75" customHeight="1">
      <c r="A587" s="22" t="s">
        <v>671</v>
      </c>
      <c r="B587" s="23">
        <v>46160.0</v>
      </c>
      <c r="C587" s="22" t="s">
        <v>56</v>
      </c>
      <c r="D587" s="22" t="s">
        <v>108</v>
      </c>
      <c r="E587" s="29">
        <v>218.0</v>
      </c>
      <c r="F587" s="24">
        <v>1250.0</v>
      </c>
      <c r="G587" s="24">
        <v>1250.0</v>
      </c>
      <c r="H587" s="24">
        <v>272500.0</v>
      </c>
      <c r="I587" s="24">
        <v>8064.16</v>
      </c>
      <c r="J587" s="24">
        <v>824.46</v>
      </c>
      <c r="K587" s="22" t="s">
        <v>109</v>
      </c>
      <c r="L587" s="29">
        <v>2.0</v>
      </c>
      <c r="M587" s="22" t="s">
        <v>631</v>
      </c>
    </row>
    <row r="588" ht="15.75" customHeight="1">
      <c r="A588" s="22" t="s">
        <v>672</v>
      </c>
      <c r="B588" s="23">
        <v>46160.0</v>
      </c>
      <c r="C588" s="22" t="s">
        <v>38</v>
      </c>
      <c r="D588" s="22" t="s">
        <v>108</v>
      </c>
      <c r="E588" s="29">
        <v>217.0</v>
      </c>
      <c r="F588" s="24">
        <v>1290.0</v>
      </c>
      <c r="G588" s="24">
        <v>1290.0</v>
      </c>
      <c r="H588" s="24">
        <v>279930.0</v>
      </c>
      <c r="I588" s="24">
        <v>10113.88</v>
      </c>
      <c r="J588" s="24">
        <v>0.0</v>
      </c>
      <c r="K588" s="22" t="s">
        <v>116</v>
      </c>
      <c r="L588" s="29">
        <v>2.0</v>
      </c>
      <c r="M588" s="22" t="s">
        <v>631</v>
      </c>
    </row>
    <row r="589" ht="15.75" customHeight="1">
      <c r="A589" s="22" t="s">
        <v>673</v>
      </c>
      <c r="B589" s="23">
        <v>46161.0</v>
      </c>
      <c r="C589" s="22" t="s">
        <v>38</v>
      </c>
      <c r="D589" s="22" t="s">
        <v>49</v>
      </c>
      <c r="E589" s="29">
        <v>232.0</v>
      </c>
      <c r="F589" s="24">
        <v>235.0</v>
      </c>
      <c r="G589" s="24">
        <v>235.0</v>
      </c>
      <c r="H589" s="24">
        <v>54520.0</v>
      </c>
      <c r="I589" s="24">
        <v>1694.49</v>
      </c>
      <c r="J589" s="24">
        <v>0.0</v>
      </c>
      <c r="K589" s="22" t="s">
        <v>116</v>
      </c>
      <c r="L589" s="29">
        <v>9.0</v>
      </c>
      <c r="M589" s="22" t="s">
        <v>631</v>
      </c>
    </row>
    <row r="590" ht="15.75" customHeight="1">
      <c r="A590" s="22" t="s">
        <v>674</v>
      </c>
      <c r="B590" s="23">
        <v>46161.0</v>
      </c>
      <c r="C590" s="22" t="s">
        <v>38</v>
      </c>
      <c r="D590" s="22" t="s">
        <v>10</v>
      </c>
      <c r="E590" s="29">
        <v>256.0</v>
      </c>
      <c r="F590" s="24">
        <v>845.0</v>
      </c>
      <c r="G590" s="24">
        <v>845.0</v>
      </c>
      <c r="H590" s="24">
        <v>216320.0</v>
      </c>
      <c r="I590" s="24">
        <v>13892.47</v>
      </c>
      <c r="J590" s="24">
        <v>3437.08</v>
      </c>
      <c r="K590" s="22" t="s">
        <v>112</v>
      </c>
      <c r="L590" s="29">
        <v>5.0</v>
      </c>
      <c r="M590" s="22" t="s">
        <v>631</v>
      </c>
    </row>
    <row r="591" ht="15.75" customHeight="1">
      <c r="A591" s="22" t="s">
        <v>675</v>
      </c>
      <c r="B591" s="23">
        <v>46161.0</v>
      </c>
      <c r="C591" s="22" t="s">
        <v>38</v>
      </c>
      <c r="D591" s="22" t="s">
        <v>10</v>
      </c>
      <c r="E591" s="29">
        <v>322.0</v>
      </c>
      <c r="F591" s="24">
        <v>845.0</v>
      </c>
      <c r="G591" s="24">
        <v>845.0</v>
      </c>
      <c r="H591" s="24">
        <v>272090.0</v>
      </c>
      <c r="I591" s="24">
        <v>14197.32</v>
      </c>
      <c r="J591" s="24">
        <v>0.0</v>
      </c>
      <c r="K591" s="22" t="s">
        <v>116</v>
      </c>
      <c r="L591" s="29">
        <v>10.0</v>
      </c>
      <c r="M591" s="22" t="s">
        <v>631</v>
      </c>
    </row>
    <row r="592" ht="15.75" customHeight="1">
      <c r="A592" s="22" t="s">
        <v>676</v>
      </c>
      <c r="B592" s="23">
        <v>46161.0</v>
      </c>
      <c r="C592" s="22" t="s">
        <v>48</v>
      </c>
      <c r="D592" s="22" t="s">
        <v>10</v>
      </c>
      <c r="E592" s="29">
        <v>467.0</v>
      </c>
      <c r="F592" s="24">
        <v>850.0</v>
      </c>
      <c r="G592" s="24">
        <v>850.0</v>
      </c>
      <c r="H592" s="24">
        <v>396950.0</v>
      </c>
      <c r="I592" s="24">
        <v>21543.94</v>
      </c>
      <c r="J592" s="24">
        <v>3706.23</v>
      </c>
      <c r="K592" s="22" t="s">
        <v>114</v>
      </c>
      <c r="L592" s="29">
        <v>15.0</v>
      </c>
      <c r="M592" s="22" t="s">
        <v>631</v>
      </c>
    </row>
    <row r="593" ht="15.75" customHeight="1">
      <c r="A593" s="22" t="s">
        <v>677</v>
      </c>
      <c r="B593" s="23">
        <v>46161.0</v>
      </c>
      <c r="C593" s="22" t="s">
        <v>56</v>
      </c>
      <c r="D593" s="22" t="s">
        <v>49</v>
      </c>
      <c r="E593" s="29">
        <v>649.0</v>
      </c>
      <c r="F593" s="24">
        <v>230.0</v>
      </c>
      <c r="G593" s="24">
        <v>230.0</v>
      </c>
      <c r="H593" s="24">
        <v>149270.0</v>
      </c>
      <c r="I593" s="24">
        <v>3060.27</v>
      </c>
      <c r="J593" s="24">
        <v>1097.24</v>
      </c>
      <c r="K593" s="22" t="s">
        <v>112</v>
      </c>
      <c r="L593" s="29">
        <v>18.0</v>
      </c>
      <c r="M593" s="22" t="s">
        <v>631</v>
      </c>
    </row>
    <row r="594" ht="15.75" customHeight="1">
      <c r="A594" s="22" t="s">
        <v>678</v>
      </c>
      <c r="B594" s="23">
        <v>46162.0</v>
      </c>
      <c r="C594" s="22" t="s">
        <v>38</v>
      </c>
      <c r="D594" s="22" t="s">
        <v>49</v>
      </c>
      <c r="E594" s="29">
        <v>168.0</v>
      </c>
      <c r="F594" s="24">
        <v>235.0</v>
      </c>
      <c r="G594" s="24">
        <v>235.0</v>
      </c>
      <c r="H594" s="24">
        <v>39480.0</v>
      </c>
      <c r="I594" s="24">
        <v>2930.95</v>
      </c>
      <c r="J594" s="24">
        <v>0.0</v>
      </c>
      <c r="K594" s="22" t="s">
        <v>116</v>
      </c>
      <c r="L594" s="29">
        <v>3.0</v>
      </c>
      <c r="M594" s="22" t="s">
        <v>631</v>
      </c>
    </row>
    <row r="595" ht="15.75" customHeight="1">
      <c r="A595" s="22" t="s">
        <v>679</v>
      </c>
      <c r="B595" s="23">
        <v>46163.0</v>
      </c>
      <c r="C595" s="22" t="s">
        <v>48</v>
      </c>
      <c r="D595" s="22" t="s">
        <v>49</v>
      </c>
      <c r="E595" s="29">
        <v>142.0</v>
      </c>
      <c r="F595" s="24">
        <v>240.0</v>
      </c>
      <c r="G595" s="24">
        <v>240.0</v>
      </c>
      <c r="H595" s="24">
        <v>34080.0</v>
      </c>
      <c r="I595" s="24">
        <v>1005.83</v>
      </c>
      <c r="J595" s="24">
        <v>226.49</v>
      </c>
      <c r="K595" s="22" t="s">
        <v>114</v>
      </c>
      <c r="L595" s="29">
        <v>4.0</v>
      </c>
      <c r="M595" s="22" t="s">
        <v>631</v>
      </c>
    </row>
    <row r="596" ht="15.75" customHeight="1">
      <c r="A596" s="22" t="s">
        <v>680</v>
      </c>
      <c r="B596" s="23">
        <v>46163.0</v>
      </c>
      <c r="C596" s="22" t="s">
        <v>56</v>
      </c>
      <c r="D596" s="22" t="s">
        <v>49</v>
      </c>
      <c r="E596" s="29">
        <v>231.0</v>
      </c>
      <c r="F596" s="24">
        <v>230.0</v>
      </c>
      <c r="G596" s="24">
        <v>230.0</v>
      </c>
      <c r="H596" s="24">
        <v>53130.0</v>
      </c>
      <c r="I596" s="24">
        <v>1383.83</v>
      </c>
      <c r="J596" s="24">
        <v>194.22</v>
      </c>
      <c r="K596" s="22" t="s">
        <v>133</v>
      </c>
      <c r="L596" s="29">
        <v>5.0</v>
      </c>
      <c r="M596" s="22" t="s">
        <v>631</v>
      </c>
    </row>
    <row r="597" ht="15.75" customHeight="1">
      <c r="A597" s="22" t="s">
        <v>681</v>
      </c>
      <c r="B597" s="23">
        <v>46163.0</v>
      </c>
      <c r="C597" s="22" t="s">
        <v>38</v>
      </c>
      <c r="D597" s="22" t="s">
        <v>49</v>
      </c>
      <c r="E597" s="29">
        <v>164.0</v>
      </c>
      <c r="F597" s="24">
        <v>235.0</v>
      </c>
      <c r="G597" s="24">
        <v>235.0</v>
      </c>
      <c r="H597" s="24">
        <v>38540.0</v>
      </c>
      <c r="I597" s="24">
        <v>1481.84</v>
      </c>
      <c r="J597" s="24">
        <v>0.0</v>
      </c>
      <c r="K597" s="22" t="s">
        <v>116</v>
      </c>
      <c r="L597" s="29">
        <v>6.0</v>
      </c>
      <c r="M597" s="22" t="s">
        <v>631</v>
      </c>
    </row>
    <row r="598" ht="15.75" customHeight="1">
      <c r="A598" s="22" t="s">
        <v>682</v>
      </c>
      <c r="B598" s="23">
        <v>46163.0</v>
      </c>
      <c r="C598" s="22" t="s">
        <v>56</v>
      </c>
      <c r="D598" s="22" t="s">
        <v>10</v>
      </c>
      <c r="E598" s="29">
        <v>128.0</v>
      </c>
      <c r="F598" s="24">
        <v>820.0</v>
      </c>
      <c r="G598" s="24">
        <v>820.0</v>
      </c>
      <c r="H598" s="24">
        <v>104960.0</v>
      </c>
      <c r="I598" s="24">
        <v>1862.89</v>
      </c>
      <c r="J598" s="24">
        <v>394.65</v>
      </c>
      <c r="K598" s="22" t="s">
        <v>133</v>
      </c>
      <c r="L598" s="29">
        <v>2.0</v>
      </c>
      <c r="M598" s="22" t="s">
        <v>631</v>
      </c>
    </row>
    <row r="599" ht="15.75" customHeight="1">
      <c r="A599" s="22" t="s">
        <v>683</v>
      </c>
      <c r="B599" s="23">
        <v>46164.0</v>
      </c>
      <c r="C599" s="22" t="s">
        <v>38</v>
      </c>
      <c r="D599" s="22" t="s">
        <v>10</v>
      </c>
      <c r="E599" s="29">
        <v>260.0</v>
      </c>
      <c r="F599" s="24">
        <v>845.0</v>
      </c>
      <c r="G599" s="24">
        <v>845.0</v>
      </c>
      <c r="H599" s="24">
        <v>219700.0</v>
      </c>
      <c r="I599" s="24">
        <v>4877.72</v>
      </c>
      <c r="J599" s="24">
        <v>1739.38</v>
      </c>
      <c r="K599" s="22" t="s">
        <v>112</v>
      </c>
      <c r="L599" s="29">
        <v>2.0</v>
      </c>
      <c r="M599" s="22" t="s">
        <v>631</v>
      </c>
    </row>
    <row r="600" ht="15.75" customHeight="1">
      <c r="A600" s="22" t="s">
        <v>684</v>
      </c>
      <c r="B600" s="23">
        <v>46164.0</v>
      </c>
      <c r="C600" s="22" t="s">
        <v>38</v>
      </c>
      <c r="D600" s="22" t="s">
        <v>49</v>
      </c>
      <c r="E600" s="29">
        <v>170.0</v>
      </c>
      <c r="F600" s="24">
        <v>235.0</v>
      </c>
      <c r="G600" s="24">
        <v>235.0</v>
      </c>
      <c r="H600" s="24">
        <v>39950.0</v>
      </c>
      <c r="I600" s="24">
        <v>1118.2</v>
      </c>
      <c r="J600" s="24">
        <v>0.0</v>
      </c>
      <c r="K600" s="22" t="s">
        <v>116</v>
      </c>
      <c r="L600" s="29">
        <v>6.0</v>
      </c>
      <c r="M600" s="22" t="s">
        <v>631</v>
      </c>
    </row>
    <row r="601" ht="15.75" customHeight="1">
      <c r="A601" s="22" t="s">
        <v>685</v>
      </c>
      <c r="B601" s="23">
        <v>46164.0</v>
      </c>
      <c r="C601" s="22" t="s">
        <v>56</v>
      </c>
      <c r="D601" s="22" t="s">
        <v>108</v>
      </c>
      <c r="E601" s="29">
        <v>90.0</v>
      </c>
      <c r="F601" s="24">
        <v>1250.0</v>
      </c>
      <c r="G601" s="24">
        <v>1250.0</v>
      </c>
      <c r="H601" s="24">
        <v>112500.0</v>
      </c>
      <c r="I601" s="24">
        <v>3494.32</v>
      </c>
      <c r="J601" s="24">
        <v>417.86</v>
      </c>
      <c r="K601" s="22" t="s">
        <v>133</v>
      </c>
      <c r="L601" s="29">
        <v>0.0</v>
      </c>
      <c r="M601" s="22" t="s">
        <v>631</v>
      </c>
    </row>
    <row r="602" ht="15.75" customHeight="1">
      <c r="A602" s="22" t="s">
        <v>686</v>
      </c>
      <c r="B602" s="23">
        <v>46165.0</v>
      </c>
      <c r="C602" s="22" t="s">
        <v>48</v>
      </c>
      <c r="D602" s="22" t="s">
        <v>49</v>
      </c>
      <c r="E602" s="29">
        <v>381.0</v>
      </c>
      <c r="F602" s="24">
        <v>240.0</v>
      </c>
      <c r="G602" s="24">
        <v>240.0</v>
      </c>
      <c r="H602" s="24">
        <v>91440.0</v>
      </c>
      <c r="I602" s="24">
        <v>4142.01</v>
      </c>
      <c r="J602" s="24">
        <v>522.23</v>
      </c>
      <c r="K602" s="22" t="s">
        <v>112</v>
      </c>
      <c r="L602" s="29">
        <v>6.0</v>
      </c>
      <c r="M602" s="22" t="s">
        <v>631</v>
      </c>
    </row>
    <row r="603" ht="15.75" customHeight="1">
      <c r="A603" s="22" t="s">
        <v>687</v>
      </c>
      <c r="B603" s="23">
        <v>46166.0</v>
      </c>
      <c r="C603" s="22" t="s">
        <v>56</v>
      </c>
      <c r="D603" s="22" t="s">
        <v>108</v>
      </c>
      <c r="E603" s="29">
        <v>351.0</v>
      </c>
      <c r="F603" s="24">
        <v>1250.0</v>
      </c>
      <c r="G603" s="24">
        <v>1250.0</v>
      </c>
      <c r="H603" s="24">
        <v>438750.0</v>
      </c>
      <c r="I603" s="24">
        <v>5225.05</v>
      </c>
      <c r="J603" s="24">
        <v>4052.34</v>
      </c>
      <c r="K603" s="22" t="s">
        <v>133</v>
      </c>
      <c r="L603" s="29">
        <v>8.0</v>
      </c>
      <c r="M603" s="22" t="s">
        <v>631</v>
      </c>
    </row>
    <row r="604" ht="15.75" customHeight="1">
      <c r="A604" s="22" t="s">
        <v>688</v>
      </c>
      <c r="B604" s="23">
        <v>46166.0</v>
      </c>
      <c r="C604" s="22" t="s">
        <v>48</v>
      </c>
      <c r="D604" s="22" t="s">
        <v>49</v>
      </c>
      <c r="E604" s="29">
        <v>251.0</v>
      </c>
      <c r="F604" s="24">
        <v>240.0</v>
      </c>
      <c r="G604" s="24">
        <v>240.0</v>
      </c>
      <c r="H604" s="24">
        <v>60240.0</v>
      </c>
      <c r="I604" s="24">
        <v>2707.26</v>
      </c>
      <c r="J604" s="24">
        <v>986.37</v>
      </c>
      <c r="K604" s="22" t="s">
        <v>133</v>
      </c>
      <c r="L604" s="29">
        <v>8.0</v>
      </c>
      <c r="M604" s="22" t="s">
        <v>631</v>
      </c>
    </row>
    <row r="605" ht="15.75" customHeight="1">
      <c r="A605" s="22" t="s">
        <v>689</v>
      </c>
      <c r="B605" s="23">
        <v>46166.0</v>
      </c>
      <c r="C605" s="22" t="s">
        <v>38</v>
      </c>
      <c r="D605" s="22" t="s">
        <v>10</v>
      </c>
      <c r="E605" s="29">
        <v>168.0</v>
      </c>
      <c r="F605" s="24">
        <v>845.0</v>
      </c>
      <c r="G605" s="24">
        <v>845.0</v>
      </c>
      <c r="H605" s="24">
        <v>141960.0</v>
      </c>
      <c r="I605" s="24">
        <v>7872.15</v>
      </c>
      <c r="J605" s="24">
        <v>0.0</v>
      </c>
      <c r="K605" s="22" t="s">
        <v>116</v>
      </c>
      <c r="L605" s="29">
        <v>1.0</v>
      </c>
      <c r="M605" s="22" t="s">
        <v>631</v>
      </c>
    </row>
    <row r="606" ht="15.75" customHeight="1">
      <c r="A606" s="22" t="s">
        <v>690</v>
      </c>
      <c r="B606" s="23">
        <v>46166.0</v>
      </c>
      <c r="C606" s="22" t="s">
        <v>56</v>
      </c>
      <c r="D606" s="22" t="s">
        <v>49</v>
      </c>
      <c r="E606" s="29">
        <v>407.0</v>
      </c>
      <c r="F606" s="24">
        <v>230.0</v>
      </c>
      <c r="G606" s="24">
        <v>230.0</v>
      </c>
      <c r="H606" s="24">
        <v>93610.0</v>
      </c>
      <c r="I606" s="24">
        <v>2037.51</v>
      </c>
      <c r="J606" s="24">
        <v>946.44</v>
      </c>
      <c r="K606" s="22" t="s">
        <v>112</v>
      </c>
      <c r="L606" s="29">
        <v>12.0</v>
      </c>
      <c r="M606" s="22" t="s">
        <v>631</v>
      </c>
    </row>
    <row r="607" ht="15.75" customHeight="1">
      <c r="A607" s="22" t="s">
        <v>691</v>
      </c>
      <c r="B607" s="23">
        <v>46167.0</v>
      </c>
      <c r="C607" s="22" t="s">
        <v>48</v>
      </c>
      <c r="D607" s="22" t="s">
        <v>49</v>
      </c>
      <c r="E607" s="29">
        <v>213.0</v>
      </c>
      <c r="F607" s="24">
        <v>240.0</v>
      </c>
      <c r="G607" s="24">
        <v>240.0</v>
      </c>
      <c r="H607" s="24">
        <v>51120.0</v>
      </c>
      <c r="I607" s="24">
        <v>2161.5</v>
      </c>
      <c r="J607" s="24">
        <v>643.62</v>
      </c>
      <c r="K607" s="22" t="s">
        <v>133</v>
      </c>
      <c r="L607" s="29">
        <v>8.0</v>
      </c>
      <c r="M607" s="22" t="s">
        <v>631</v>
      </c>
    </row>
    <row r="608" ht="15.75" customHeight="1">
      <c r="A608" s="22" t="s">
        <v>692</v>
      </c>
      <c r="B608" s="23">
        <v>46167.0</v>
      </c>
      <c r="C608" s="22" t="s">
        <v>48</v>
      </c>
      <c r="D608" s="22" t="s">
        <v>49</v>
      </c>
      <c r="E608" s="29">
        <v>391.0</v>
      </c>
      <c r="F608" s="24">
        <v>240.0</v>
      </c>
      <c r="G608" s="24">
        <v>240.0</v>
      </c>
      <c r="H608" s="24">
        <v>93840.0</v>
      </c>
      <c r="I608" s="24">
        <v>4378.11</v>
      </c>
      <c r="J608" s="24">
        <v>395.26</v>
      </c>
      <c r="K608" s="22" t="s">
        <v>133</v>
      </c>
      <c r="L608" s="29">
        <v>9.0</v>
      </c>
      <c r="M608" s="22" t="s">
        <v>631</v>
      </c>
    </row>
    <row r="609" ht="15.75" customHeight="1">
      <c r="A609" s="22" t="s">
        <v>693</v>
      </c>
      <c r="B609" s="23">
        <v>46168.0</v>
      </c>
      <c r="C609" s="22" t="s">
        <v>38</v>
      </c>
      <c r="D609" s="22" t="s">
        <v>10</v>
      </c>
      <c r="E609" s="29">
        <v>420.0</v>
      </c>
      <c r="F609" s="24">
        <v>845.0</v>
      </c>
      <c r="G609" s="24">
        <v>845.0</v>
      </c>
      <c r="H609" s="24">
        <v>354900.0</v>
      </c>
      <c r="I609" s="24">
        <v>15989.74</v>
      </c>
      <c r="J609" s="24">
        <v>3744.88</v>
      </c>
      <c r="K609" s="22" t="s">
        <v>133</v>
      </c>
      <c r="L609" s="29">
        <v>15.0</v>
      </c>
      <c r="M609" s="22" t="s">
        <v>631</v>
      </c>
    </row>
    <row r="610" ht="15.75" customHeight="1">
      <c r="A610" s="22" t="s">
        <v>694</v>
      </c>
      <c r="B610" s="23">
        <v>46169.0</v>
      </c>
      <c r="C610" s="22" t="s">
        <v>38</v>
      </c>
      <c r="D610" s="22" t="s">
        <v>108</v>
      </c>
      <c r="E610" s="29">
        <v>155.0</v>
      </c>
      <c r="F610" s="24">
        <v>1290.0</v>
      </c>
      <c r="G610" s="24">
        <v>1290.0</v>
      </c>
      <c r="H610" s="24">
        <v>199950.0</v>
      </c>
      <c r="I610" s="24">
        <v>7432.12</v>
      </c>
      <c r="J610" s="24">
        <v>0.0</v>
      </c>
      <c r="K610" s="22" t="s">
        <v>116</v>
      </c>
      <c r="L610" s="29">
        <v>3.0</v>
      </c>
      <c r="M610" s="22" t="s">
        <v>631</v>
      </c>
    </row>
    <row r="611" ht="15.75" customHeight="1">
      <c r="A611" s="22" t="s">
        <v>695</v>
      </c>
      <c r="B611" s="23">
        <v>46169.0</v>
      </c>
      <c r="C611" s="22" t="s">
        <v>48</v>
      </c>
      <c r="D611" s="22" t="s">
        <v>49</v>
      </c>
      <c r="E611" s="29">
        <v>80.0</v>
      </c>
      <c r="F611" s="24">
        <v>240.0</v>
      </c>
      <c r="G611" s="24">
        <v>240.0</v>
      </c>
      <c r="H611" s="24">
        <v>19200.0</v>
      </c>
      <c r="I611" s="24">
        <v>631.78</v>
      </c>
      <c r="J611" s="24">
        <v>0.0</v>
      </c>
      <c r="K611" s="22" t="s">
        <v>116</v>
      </c>
      <c r="L611" s="29">
        <v>2.0</v>
      </c>
      <c r="M611" s="22" t="s">
        <v>631</v>
      </c>
    </row>
    <row r="612" ht="15.75" customHeight="1">
      <c r="A612" s="22" t="s">
        <v>696</v>
      </c>
      <c r="B612" s="23">
        <v>46170.0</v>
      </c>
      <c r="C612" s="22" t="s">
        <v>38</v>
      </c>
      <c r="D612" s="22" t="s">
        <v>10</v>
      </c>
      <c r="E612" s="29">
        <v>307.0</v>
      </c>
      <c r="F612" s="24">
        <v>845.0</v>
      </c>
      <c r="G612" s="24">
        <v>845.0</v>
      </c>
      <c r="H612" s="24">
        <v>259415.0</v>
      </c>
      <c r="I612" s="24">
        <v>8420.04</v>
      </c>
      <c r="J612" s="24">
        <v>1439.76</v>
      </c>
      <c r="K612" s="22" t="s">
        <v>133</v>
      </c>
      <c r="L612" s="29">
        <v>8.0</v>
      </c>
      <c r="M612" s="22" t="s">
        <v>631</v>
      </c>
    </row>
    <row r="613" ht="15.75" customHeight="1">
      <c r="A613" s="22" t="s">
        <v>697</v>
      </c>
      <c r="B613" s="23">
        <v>46170.0</v>
      </c>
      <c r="C613" s="22" t="s">
        <v>48</v>
      </c>
      <c r="D613" s="22" t="s">
        <v>10</v>
      </c>
      <c r="E613" s="29">
        <v>426.0</v>
      </c>
      <c r="F613" s="24">
        <v>850.0</v>
      </c>
      <c r="G613" s="24">
        <v>850.0</v>
      </c>
      <c r="H613" s="24">
        <v>362100.0</v>
      </c>
      <c r="I613" s="24">
        <v>13258.65</v>
      </c>
      <c r="J613" s="24">
        <v>0.0</v>
      </c>
      <c r="K613" s="22" t="s">
        <v>116</v>
      </c>
      <c r="L613" s="29">
        <v>14.0</v>
      </c>
      <c r="M613" s="22" t="s">
        <v>631</v>
      </c>
    </row>
    <row r="614" ht="15.75" customHeight="1">
      <c r="A614" s="22" t="s">
        <v>698</v>
      </c>
      <c r="B614" s="23">
        <v>46171.0</v>
      </c>
      <c r="C614" s="22" t="s">
        <v>48</v>
      </c>
      <c r="D614" s="22" t="s">
        <v>10</v>
      </c>
      <c r="E614" s="29">
        <v>260.0</v>
      </c>
      <c r="F614" s="24">
        <v>850.0</v>
      </c>
      <c r="G614" s="24">
        <v>850.0</v>
      </c>
      <c r="H614" s="24">
        <v>221000.0</v>
      </c>
      <c r="I614" s="24">
        <v>8295.22</v>
      </c>
      <c r="J614" s="24">
        <v>243.88</v>
      </c>
      <c r="K614" s="22" t="s">
        <v>112</v>
      </c>
      <c r="L614" s="29">
        <v>6.0</v>
      </c>
      <c r="M614" s="22" t="s">
        <v>631</v>
      </c>
    </row>
    <row r="615" ht="15.75" customHeight="1">
      <c r="A615" s="22" t="s">
        <v>699</v>
      </c>
      <c r="B615" s="23">
        <v>46171.0</v>
      </c>
      <c r="C615" s="22" t="s">
        <v>56</v>
      </c>
      <c r="D615" s="22" t="s">
        <v>49</v>
      </c>
      <c r="E615" s="29">
        <v>442.0</v>
      </c>
      <c r="F615" s="24">
        <v>230.0</v>
      </c>
      <c r="G615" s="24">
        <v>230.0</v>
      </c>
      <c r="H615" s="24">
        <v>101660.0</v>
      </c>
      <c r="I615" s="24">
        <v>2696.79</v>
      </c>
      <c r="J615" s="24">
        <v>0.0</v>
      </c>
      <c r="K615" s="22" t="s">
        <v>116</v>
      </c>
      <c r="L615" s="29">
        <v>15.0</v>
      </c>
      <c r="M615" s="22" t="s">
        <v>631</v>
      </c>
    </row>
    <row r="616" ht="15.75" customHeight="1">
      <c r="A616" s="22" t="s">
        <v>700</v>
      </c>
      <c r="B616" s="23">
        <v>46172.0</v>
      </c>
      <c r="C616" s="22" t="s">
        <v>38</v>
      </c>
      <c r="D616" s="22" t="s">
        <v>108</v>
      </c>
      <c r="E616" s="29">
        <v>550.0</v>
      </c>
      <c r="F616" s="24">
        <v>1290.0</v>
      </c>
      <c r="G616" s="24">
        <v>1290.0</v>
      </c>
      <c r="H616" s="24">
        <v>709500.0</v>
      </c>
      <c r="I616" s="24">
        <v>17774.14</v>
      </c>
      <c r="J616" s="24">
        <v>3172.32</v>
      </c>
      <c r="K616" s="22" t="s">
        <v>112</v>
      </c>
      <c r="L616" s="29">
        <v>13.0</v>
      </c>
      <c r="M616" s="22" t="s">
        <v>631</v>
      </c>
    </row>
    <row r="617" ht="15.75" customHeight="1">
      <c r="A617" s="22" t="s">
        <v>701</v>
      </c>
      <c r="B617" s="23">
        <v>46173.0</v>
      </c>
      <c r="C617" s="22" t="s">
        <v>48</v>
      </c>
      <c r="D617" s="22" t="s">
        <v>10</v>
      </c>
      <c r="E617" s="29">
        <v>465.0</v>
      </c>
      <c r="F617" s="24">
        <v>850.0</v>
      </c>
      <c r="G617" s="24">
        <v>850.0</v>
      </c>
      <c r="H617" s="24">
        <v>395250.0</v>
      </c>
      <c r="I617" s="24">
        <v>20562.04</v>
      </c>
      <c r="J617" s="24">
        <v>6849.29</v>
      </c>
      <c r="K617" s="22" t="s">
        <v>133</v>
      </c>
      <c r="L617" s="29">
        <v>12.0</v>
      </c>
      <c r="M617" s="22" t="s">
        <v>631</v>
      </c>
    </row>
    <row r="618" ht="15.75" customHeight="1">
      <c r="A618" s="22" t="s">
        <v>702</v>
      </c>
      <c r="B618" s="23">
        <v>46174.0</v>
      </c>
      <c r="C618" s="22" t="s">
        <v>48</v>
      </c>
      <c r="D618" s="22" t="s">
        <v>108</v>
      </c>
      <c r="E618" s="29">
        <v>147.0</v>
      </c>
      <c r="F618" s="24">
        <v>1300.0</v>
      </c>
      <c r="G618" s="24">
        <v>1300.0</v>
      </c>
      <c r="H618" s="24">
        <v>191100.0</v>
      </c>
      <c r="I618" s="24">
        <v>3106.79</v>
      </c>
      <c r="J618" s="24">
        <v>2619.52</v>
      </c>
      <c r="K618" s="22" t="s">
        <v>133</v>
      </c>
      <c r="L618" s="29">
        <v>1.0</v>
      </c>
      <c r="M618" s="22" t="s">
        <v>703</v>
      </c>
    </row>
    <row r="619" ht="15.75" customHeight="1">
      <c r="A619" s="22" t="s">
        <v>704</v>
      </c>
      <c r="B619" s="23">
        <v>46174.0</v>
      </c>
      <c r="C619" s="22" t="s">
        <v>56</v>
      </c>
      <c r="D619" s="22" t="s">
        <v>108</v>
      </c>
      <c r="E619" s="29">
        <v>308.0</v>
      </c>
      <c r="F619" s="24">
        <v>1250.0</v>
      </c>
      <c r="G619" s="24">
        <v>1250.0</v>
      </c>
      <c r="H619" s="24">
        <v>385000.0</v>
      </c>
      <c r="I619" s="24">
        <v>10688.97</v>
      </c>
      <c r="J619" s="24">
        <v>0.0</v>
      </c>
      <c r="K619" s="22" t="s">
        <v>116</v>
      </c>
      <c r="L619" s="29">
        <v>3.0</v>
      </c>
      <c r="M619" s="22" t="s">
        <v>703</v>
      </c>
    </row>
    <row r="620" ht="15.75" customHeight="1">
      <c r="A620" s="22" t="s">
        <v>705</v>
      </c>
      <c r="B620" s="23">
        <v>46174.0</v>
      </c>
      <c r="C620" s="22" t="s">
        <v>38</v>
      </c>
      <c r="D620" s="22" t="s">
        <v>10</v>
      </c>
      <c r="E620" s="29">
        <v>394.0</v>
      </c>
      <c r="F620" s="24">
        <v>845.0</v>
      </c>
      <c r="G620" s="24">
        <v>845.0</v>
      </c>
      <c r="H620" s="24">
        <v>332930.0</v>
      </c>
      <c r="I620" s="24">
        <v>20207.82</v>
      </c>
      <c r="J620" s="24">
        <v>0.0</v>
      </c>
      <c r="K620" s="22" t="s">
        <v>116</v>
      </c>
      <c r="L620" s="29">
        <v>10.0</v>
      </c>
      <c r="M620" s="22" t="s">
        <v>703</v>
      </c>
    </row>
    <row r="621" ht="15.75" customHeight="1">
      <c r="A621" s="22" t="s">
        <v>706</v>
      </c>
      <c r="B621" s="23">
        <v>46175.0</v>
      </c>
      <c r="C621" s="22" t="s">
        <v>38</v>
      </c>
      <c r="D621" s="22" t="s">
        <v>10</v>
      </c>
      <c r="E621" s="29">
        <v>263.0</v>
      </c>
      <c r="F621" s="24">
        <v>845.0</v>
      </c>
      <c r="G621" s="24">
        <v>845.0</v>
      </c>
      <c r="H621" s="24">
        <v>222235.0</v>
      </c>
      <c r="I621" s="24">
        <v>5625.75</v>
      </c>
      <c r="J621" s="24">
        <v>459.98</v>
      </c>
      <c r="K621" s="22" t="s">
        <v>114</v>
      </c>
      <c r="L621" s="29">
        <v>3.0</v>
      </c>
      <c r="M621" s="22" t="s">
        <v>703</v>
      </c>
    </row>
    <row r="622" ht="15.75" customHeight="1">
      <c r="A622" s="22" t="s">
        <v>707</v>
      </c>
      <c r="B622" s="23">
        <v>46176.0</v>
      </c>
      <c r="C622" s="22" t="s">
        <v>38</v>
      </c>
      <c r="D622" s="22" t="s">
        <v>10</v>
      </c>
      <c r="E622" s="29">
        <v>174.0</v>
      </c>
      <c r="F622" s="24">
        <v>845.0</v>
      </c>
      <c r="G622" s="24">
        <v>845.0</v>
      </c>
      <c r="H622" s="24">
        <v>147030.0</v>
      </c>
      <c r="I622" s="24">
        <v>6587.27</v>
      </c>
      <c r="J622" s="24">
        <v>2643.7</v>
      </c>
      <c r="K622" s="22" t="s">
        <v>112</v>
      </c>
      <c r="L622" s="29">
        <v>0.0</v>
      </c>
      <c r="M622" s="22" t="s">
        <v>703</v>
      </c>
    </row>
    <row r="623" ht="15.75" customHeight="1">
      <c r="A623" s="22" t="s">
        <v>708</v>
      </c>
      <c r="B623" s="23">
        <v>46176.0</v>
      </c>
      <c r="C623" s="22" t="s">
        <v>48</v>
      </c>
      <c r="D623" s="22" t="s">
        <v>10</v>
      </c>
      <c r="E623" s="29">
        <v>76.0</v>
      </c>
      <c r="F623" s="24">
        <v>850.0</v>
      </c>
      <c r="G623" s="24">
        <v>850.0</v>
      </c>
      <c r="H623" s="24">
        <v>64600.0</v>
      </c>
      <c r="I623" s="24">
        <v>3545.82</v>
      </c>
      <c r="J623" s="24">
        <v>1031.59</v>
      </c>
      <c r="K623" s="22" t="s">
        <v>112</v>
      </c>
      <c r="L623" s="29">
        <v>1.0</v>
      </c>
      <c r="M623" s="22" t="s">
        <v>703</v>
      </c>
    </row>
    <row r="624" ht="15.75" customHeight="1">
      <c r="A624" s="22" t="s">
        <v>709</v>
      </c>
      <c r="B624" s="23">
        <v>46177.0</v>
      </c>
      <c r="C624" s="22" t="s">
        <v>38</v>
      </c>
      <c r="D624" s="22" t="s">
        <v>10</v>
      </c>
      <c r="E624" s="29">
        <v>291.0</v>
      </c>
      <c r="F624" s="24">
        <v>845.0</v>
      </c>
      <c r="G624" s="24">
        <v>845.0</v>
      </c>
      <c r="H624" s="24">
        <v>245895.0</v>
      </c>
      <c r="I624" s="24">
        <v>8125.07</v>
      </c>
      <c r="J624" s="24">
        <v>0.0</v>
      </c>
      <c r="K624" s="22" t="s">
        <v>116</v>
      </c>
      <c r="L624" s="29">
        <v>8.0</v>
      </c>
      <c r="M624" s="22" t="s">
        <v>703</v>
      </c>
    </row>
    <row r="625" ht="15.75" customHeight="1">
      <c r="A625" s="22" t="s">
        <v>710</v>
      </c>
      <c r="B625" s="23">
        <v>46177.0</v>
      </c>
      <c r="C625" s="22" t="s">
        <v>48</v>
      </c>
      <c r="D625" s="22" t="s">
        <v>49</v>
      </c>
      <c r="E625" s="29">
        <v>383.0</v>
      </c>
      <c r="F625" s="24">
        <v>240.0</v>
      </c>
      <c r="G625" s="24">
        <v>240.0</v>
      </c>
      <c r="H625" s="24">
        <v>91920.0</v>
      </c>
      <c r="I625" s="24">
        <v>1565.88</v>
      </c>
      <c r="J625" s="24">
        <v>0.0</v>
      </c>
      <c r="K625" s="22" t="s">
        <v>116</v>
      </c>
      <c r="L625" s="29">
        <v>8.0</v>
      </c>
      <c r="M625" s="22" t="s">
        <v>703</v>
      </c>
    </row>
    <row r="626" ht="15.75" customHeight="1">
      <c r="A626" s="22" t="s">
        <v>711</v>
      </c>
      <c r="B626" s="23">
        <v>46177.0</v>
      </c>
      <c r="C626" s="22" t="s">
        <v>38</v>
      </c>
      <c r="D626" s="22" t="s">
        <v>10</v>
      </c>
      <c r="E626" s="29">
        <v>242.0</v>
      </c>
      <c r="F626" s="24">
        <v>845.0</v>
      </c>
      <c r="G626" s="24">
        <v>845.0</v>
      </c>
      <c r="H626" s="24">
        <v>204490.0</v>
      </c>
      <c r="I626" s="24">
        <v>13929.75</v>
      </c>
      <c r="J626" s="24">
        <v>0.0</v>
      </c>
      <c r="K626" s="22" t="s">
        <v>116</v>
      </c>
      <c r="L626" s="29">
        <v>3.0</v>
      </c>
      <c r="M626" s="22" t="s">
        <v>703</v>
      </c>
    </row>
    <row r="627" ht="15.75" customHeight="1">
      <c r="A627" s="22" t="s">
        <v>712</v>
      </c>
      <c r="B627" s="23">
        <v>46179.0</v>
      </c>
      <c r="C627" s="22" t="s">
        <v>38</v>
      </c>
      <c r="D627" s="22" t="s">
        <v>49</v>
      </c>
      <c r="E627" s="29">
        <v>510.0</v>
      </c>
      <c r="F627" s="24">
        <v>235.0</v>
      </c>
      <c r="G627" s="24">
        <v>235.0</v>
      </c>
      <c r="H627" s="24">
        <v>119850.0</v>
      </c>
      <c r="I627" s="24">
        <v>3063.71</v>
      </c>
      <c r="J627" s="24">
        <v>1073.55</v>
      </c>
      <c r="K627" s="22" t="s">
        <v>109</v>
      </c>
      <c r="L627" s="29">
        <v>13.0</v>
      </c>
      <c r="M627" s="22" t="s">
        <v>703</v>
      </c>
    </row>
    <row r="628" ht="15.75" customHeight="1">
      <c r="A628" s="22" t="s">
        <v>713</v>
      </c>
      <c r="B628" s="23">
        <v>46179.0</v>
      </c>
      <c r="C628" s="22" t="s">
        <v>48</v>
      </c>
      <c r="D628" s="22" t="s">
        <v>49</v>
      </c>
      <c r="E628" s="29">
        <v>208.0</v>
      </c>
      <c r="F628" s="24">
        <v>240.0</v>
      </c>
      <c r="G628" s="24">
        <v>240.0</v>
      </c>
      <c r="H628" s="24">
        <v>49920.0</v>
      </c>
      <c r="I628" s="24">
        <v>1222.08</v>
      </c>
      <c r="J628" s="24">
        <v>0.0</v>
      </c>
      <c r="K628" s="22" t="s">
        <v>116</v>
      </c>
      <c r="L628" s="29">
        <v>7.0</v>
      </c>
      <c r="M628" s="22" t="s">
        <v>703</v>
      </c>
    </row>
    <row r="629" ht="15.75" customHeight="1">
      <c r="A629" s="22" t="s">
        <v>714</v>
      </c>
      <c r="B629" s="23">
        <v>46181.0</v>
      </c>
      <c r="C629" s="22" t="s">
        <v>38</v>
      </c>
      <c r="D629" s="22" t="s">
        <v>10</v>
      </c>
      <c r="E629" s="29">
        <v>166.0</v>
      </c>
      <c r="F629" s="24">
        <v>845.0</v>
      </c>
      <c r="G629" s="24">
        <v>845.0</v>
      </c>
      <c r="H629" s="24">
        <v>140270.0</v>
      </c>
      <c r="I629" s="24">
        <v>8001.52</v>
      </c>
      <c r="J629" s="24">
        <v>0.0</v>
      </c>
      <c r="K629" s="22" t="s">
        <v>116</v>
      </c>
      <c r="L629" s="29">
        <v>6.0</v>
      </c>
      <c r="M629" s="22" t="s">
        <v>703</v>
      </c>
    </row>
    <row r="630" ht="15.75" customHeight="1">
      <c r="A630" s="22" t="s">
        <v>715</v>
      </c>
      <c r="B630" s="23">
        <v>46181.0</v>
      </c>
      <c r="C630" s="22" t="s">
        <v>48</v>
      </c>
      <c r="D630" s="22" t="s">
        <v>10</v>
      </c>
      <c r="E630" s="29">
        <v>347.0</v>
      </c>
      <c r="F630" s="24">
        <v>850.0</v>
      </c>
      <c r="G630" s="24">
        <v>850.0</v>
      </c>
      <c r="H630" s="24">
        <v>294950.0</v>
      </c>
      <c r="I630" s="24">
        <v>15238.49</v>
      </c>
      <c r="J630" s="24">
        <v>0.0</v>
      </c>
      <c r="K630" s="22" t="s">
        <v>116</v>
      </c>
      <c r="L630" s="29">
        <v>10.0</v>
      </c>
      <c r="M630" s="22" t="s">
        <v>703</v>
      </c>
    </row>
    <row r="631" ht="15.75" customHeight="1">
      <c r="A631" s="22" t="s">
        <v>716</v>
      </c>
      <c r="B631" s="23">
        <v>46181.0</v>
      </c>
      <c r="C631" s="22" t="s">
        <v>38</v>
      </c>
      <c r="D631" s="22" t="s">
        <v>10</v>
      </c>
      <c r="E631" s="29">
        <v>110.0</v>
      </c>
      <c r="F631" s="24">
        <v>845.0</v>
      </c>
      <c r="G631" s="24">
        <v>845.0</v>
      </c>
      <c r="H631" s="24">
        <v>92950.0</v>
      </c>
      <c r="I631" s="24">
        <v>5704.26</v>
      </c>
      <c r="J631" s="24">
        <v>0.0</v>
      </c>
      <c r="K631" s="22" t="s">
        <v>116</v>
      </c>
      <c r="L631" s="29">
        <v>2.0</v>
      </c>
      <c r="M631" s="22" t="s">
        <v>703</v>
      </c>
    </row>
    <row r="632" ht="15.75" customHeight="1">
      <c r="A632" s="22" t="s">
        <v>717</v>
      </c>
      <c r="B632" s="23">
        <v>46181.0</v>
      </c>
      <c r="C632" s="22" t="s">
        <v>48</v>
      </c>
      <c r="D632" s="22" t="s">
        <v>10</v>
      </c>
      <c r="E632" s="29">
        <v>127.0</v>
      </c>
      <c r="F632" s="24">
        <v>850.0</v>
      </c>
      <c r="G632" s="24">
        <v>850.0</v>
      </c>
      <c r="H632" s="24">
        <v>107950.0</v>
      </c>
      <c r="I632" s="24">
        <v>4337.83</v>
      </c>
      <c r="J632" s="24">
        <v>1208.84</v>
      </c>
      <c r="K632" s="22" t="s">
        <v>109</v>
      </c>
      <c r="L632" s="29">
        <v>2.0</v>
      </c>
      <c r="M632" s="22" t="s">
        <v>703</v>
      </c>
    </row>
    <row r="633" ht="15.75" customHeight="1">
      <c r="A633" s="22" t="s">
        <v>718</v>
      </c>
      <c r="B633" s="23">
        <v>46182.0</v>
      </c>
      <c r="C633" s="22" t="s">
        <v>56</v>
      </c>
      <c r="D633" s="22" t="s">
        <v>49</v>
      </c>
      <c r="E633" s="29">
        <v>353.0</v>
      </c>
      <c r="F633" s="24">
        <v>230.0</v>
      </c>
      <c r="G633" s="24">
        <v>230.0</v>
      </c>
      <c r="H633" s="24">
        <v>81190.0</v>
      </c>
      <c r="I633" s="24">
        <v>1827.33</v>
      </c>
      <c r="J633" s="24">
        <v>0.0</v>
      </c>
      <c r="K633" s="22" t="s">
        <v>116</v>
      </c>
      <c r="L633" s="29">
        <v>7.0</v>
      </c>
      <c r="M633" s="22" t="s">
        <v>703</v>
      </c>
    </row>
    <row r="634" ht="15.75" customHeight="1">
      <c r="A634" s="22" t="s">
        <v>719</v>
      </c>
      <c r="B634" s="23">
        <v>46182.0</v>
      </c>
      <c r="C634" s="22" t="s">
        <v>48</v>
      </c>
      <c r="D634" s="22" t="s">
        <v>10</v>
      </c>
      <c r="E634" s="29">
        <v>219.0</v>
      </c>
      <c r="F634" s="24">
        <v>850.0</v>
      </c>
      <c r="G634" s="24">
        <v>850.0</v>
      </c>
      <c r="H634" s="24">
        <v>186150.0</v>
      </c>
      <c r="I634" s="24">
        <v>10177.97</v>
      </c>
      <c r="J634" s="24">
        <v>0.0</v>
      </c>
      <c r="K634" s="22" t="s">
        <v>116</v>
      </c>
      <c r="L634" s="29">
        <v>3.0</v>
      </c>
      <c r="M634" s="22" t="s">
        <v>703</v>
      </c>
    </row>
    <row r="635" ht="15.75" customHeight="1">
      <c r="A635" s="22" t="s">
        <v>720</v>
      </c>
      <c r="B635" s="23">
        <v>46182.0</v>
      </c>
      <c r="C635" s="22" t="s">
        <v>38</v>
      </c>
      <c r="D635" s="22" t="s">
        <v>10</v>
      </c>
      <c r="E635" s="29">
        <v>447.0</v>
      </c>
      <c r="F635" s="24">
        <v>845.0</v>
      </c>
      <c r="G635" s="24">
        <v>845.0</v>
      </c>
      <c r="H635" s="24">
        <v>377715.0</v>
      </c>
      <c r="I635" s="24">
        <v>15112.97</v>
      </c>
      <c r="J635" s="24">
        <v>0.0</v>
      </c>
      <c r="K635" s="22" t="s">
        <v>116</v>
      </c>
      <c r="L635" s="29">
        <v>6.0</v>
      </c>
      <c r="M635" s="22" t="s">
        <v>703</v>
      </c>
    </row>
    <row r="636" ht="15.75" customHeight="1">
      <c r="A636" s="22" t="s">
        <v>721</v>
      </c>
      <c r="B636" s="23">
        <v>46183.0</v>
      </c>
      <c r="C636" s="22" t="s">
        <v>56</v>
      </c>
      <c r="D636" s="22" t="s">
        <v>10</v>
      </c>
      <c r="E636" s="29">
        <v>139.0</v>
      </c>
      <c r="F636" s="24">
        <v>820.0</v>
      </c>
      <c r="G636" s="24">
        <v>820.0</v>
      </c>
      <c r="H636" s="24">
        <v>113980.0</v>
      </c>
      <c r="I636" s="24">
        <v>1629.29</v>
      </c>
      <c r="J636" s="24">
        <v>0.0</v>
      </c>
      <c r="K636" s="22" t="s">
        <v>116</v>
      </c>
      <c r="L636" s="29">
        <v>6.0</v>
      </c>
      <c r="M636" s="22" t="s">
        <v>703</v>
      </c>
    </row>
    <row r="637" ht="15.75" customHeight="1">
      <c r="A637" s="22" t="s">
        <v>722</v>
      </c>
      <c r="B637" s="23">
        <v>46183.0</v>
      </c>
      <c r="C637" s="22" t="s">
        <v>48</v>
      </c>
      <c r="D637" s="22" t="s">
        <v>10</v>
      </c>
      <c r="E637" s="29">
        <v>243.0</v>
      </c>
      <c r="F637" s="24">
        <v>850.0</v>
      </c>
      <c r="G637" s="24">
        <v>850.0</v>
      </c>
      <c r="H637" s="24">
        <v>206550.0</v>
      </c>
      <c r="I637" s="24">
        <v>11145.43</v>
      </c>
      <c r="J637" s="24">
        <v>0.0</v>
      </c>
      <c r="K637" s="22" t="s">
        <v>116</v>
      </c>
      <c r="L637" s="29">
        <v>2.0</v>
      </c>
      <c r="M637" s="22" t="s">
        <v>703</v>
      </c>
    </row>
    <row r="638" ht="15.75" customHeight="1">
      <c r="A638" s="22" t="s">
        <v>723</v>
      </c>
      <c r="B638" s="23">
        <v>46183.0</v>
      </c>
      <c r="C638" s="22" t="s">
        <v>56</v>
      </c>
      <c r="D638" s="22" t="s">
        <v>49</v>
      </c>
      <c r="E638" s="29">
        <v>93.0</v>
      </c>
      <c r="F638" s="24">
        <v>230.0</v>
      </c>
      <c r="G638" s="24">
        <v>230.0</v>
      </c>
      <c r="H638" s="24">
        <v>21390.0</v>
      </c>
      <c r="I638" s="24">
        <v>656.33</v>
      </c>
      <c r="J638" s="24">
        <v>111.87</v>
      </c>
      <c r="K638" s="22" t="s">
        <v>114</v>
      </c>
      <c r="L638" s="29">
        <v>2.0</v>
      </c>
      <c r="M638" s="22" t="s">
        <v>703</v>
      </c>
    </row>
    <row r="639" ht="15.75" customHeight="1">
      <c r="A639" s="22" t="s">
        <v>724</v>
      </c>
      <c r="B639" s="23">
        <v>46184.0</v>
      </c>
      <c r="C639" s="22" t="s">
        <v>38</v>
      </c>
      <c r="D639" s="22" t="s">
        <v>49</v>
      </c>
      <c r="E639" s="29">
        <v>131.0</v>
      </c>
      <c r="F639" s="24">
        <v>235.0</v>
      </c>
      <c r="G639" s="24">
        <v>235.0</v>
      </c>
      <c r="H639" s="24">
        <v>30785.0</v>
      </c>
      <c r="I639" s="24">
        <v>1578.54</v>
      </c>
      <c r="J639" s="24">
        <v>0.0</v>
      </c>
      <c r="K639" s="22" t="s">
        <v>116</v>
      </c>
      <c r="L639" s="29">
        <v>4.0</v>
      </c>
      <c r="M639" s="22" t="s">
        <v>703</v>
      </c>
    </row>
    <row r="640" ht="15.75" customHeight="1">
      <c r="A640" s="22" t="s">
        <v>725</v>
      </c>
      <c r="B640" s="23">
        <v>46184.0</v>
      </c>
      <c r="C640" s="22" t="s">
        <v>38</v>
      </c>
      <c r="D640" s="22" t="s">
        <v>108</v>
      </c>
      <c r="E640" s="29">
        <v>419.0</v>
      </c>
      <c r="F640" s="24">
        <v>1290.0</v>
      </c>
      <c r="G640" s="24">
        <v>1290.0</v>
      </c>
      <c r="H640" s="24">
        <v>540510.0</v>
      </c>
      <c r="I640" s="24">
        <v>28189.61</v>
      </c>
      <c r="J640" s="24">
        <v>0.0</v>
      </c>
      <c r="K640" s="22" t="s">
        <v>116</v>
      </c>
      <c r="L640" s="29">
        <v>7.0</v>
      </c>
      <c r="M640" s="22" t="s">
        <v>703</v>
      </c>
    </row>
    <row r="641" ht="15.75" customHeight="1">
      <c r="A641" s="22" t="s">
        <v>726</v>
      </c>
      <c r="B641" s="23">
        <v>46184.0</v>
      </c>
      <c r="C641" s="22" t="s">
        <v>38</v>
      </c>
      <c r="D641" s="22" t="s">
        <v>49</v>
      </c>
      <c r="E641" s="29">
        <v>327.0</v>
      </c>
      <c r="F641" s="24">
        <v>235.0</v>
      </c>
      <c r="G641" s="24">
        <v>235.0</v>
      </c>
      <c r="H641" s="24">
        <v>76845.0</v>
      </c>
      <c r="I641" s="24">
        <v>3964.87</v>
      </c>
      <c r="J641" s="24">
        <v>771.38</v>
      </c>
      <c r="K641" s="22" t="s">
        <v>133</v>
      </c>
      <c r="L641" s="29">
        <v>14.0</v>
      </c>
      <c r="M641" s="22" t="s">
        <v>703</v>
      </c>
    </row>
    <row r="642" ht="15.75" customHeight="1">
      <c r="A642" s="22" t="s">
        <v>727</v>
      </c>
      <c r="B642" s="23">
        <v>46185.0</v>
      </c>
      <c r="C642" s="22" t="s">
        <v>56</v>
      </c>
      <c r="D642" s="22" t="s">
        <v>108</v>
      </c>
      <c r="E642" s="29">
        <v>194.0</v>
      </c>
      <c r="F642" s="24">
        <v>1250.0</v>
      </c>
      <c r="G642" s="24">
        <v>1250.0</v>
      </c>
      <c r="H642" s="24">
        <v>242500.0</v>
      </c>
      <c r="I642" s="24">
        <v>2808.83</v>
      </c>
      <c r="J642" s="24">
        <v>1387.26</v>
      </c>
      <c r="K642" s="22" t="s">
        <v>109</v>
      </c>
      <c r="L642" s="29">
        <v>5.0</v>
      </c>
      <c r="M642" s="22" t="s">
        <v>703</v>
      </c>
    </row>
    <row r="643" ht="15.75" customHeight="1">
      <c r="A643" s="22" t="s">
        <v>728</v>
      </c>
      <c r="B643" s="23">
        <v>46185.0</v>
      </c>
      <c r="C643" s="22" t="s">
        <v>48</v>
      </c>
      <c r="D643" s="22" t="s">
        <v>49</v>
      </c>
      <c r="E643" s="29">
        <v>365.0</v>
      </c>
      <c r="F643" s="24">
        <v>240.0</v>
      </c>
      <c r="G643" s="24">
        <v>240.0</v>
      </c>
      <c r="H643" s="24">
        <v>87600.0</v>
      </c>
      <c r="I643" s="24">
        <v>3913.53</v>
      </c>
      <c r="J643" s="24">
        <v>425.41</v>
      </c>
      <c r="K643" s="22" t="s">
        <v>109</v>
      </c>
      <c r="L643" s="29">
        <v>14.0</v>
      </c>
      <c r="M643" s="22" t="s">
        <v>703</v>
      </c>
    </row>
    <row r="644" ht="15.75" customHeight="1">
      <c r="A644" s="22" t="s">
        <v>729</v>
      </c>
      <c r="B644" s="23">
        <v>46186.0</v>
      </c>
      <c r="C644" s="22" t="s">
        <v>38</v>
      </c>
      <c r="D644" s="22" t="s">
        <v>10</v>
      </c>
      <c r="E644" s="29">
        <v>135.0</v>
      </c>
      <c r="F644" s="24">
        <v>845.0</v>
      </c>
      <c r="G644" s="24">
        <v>845.0</v>
      </c>
      <c r="H644" s="24">
        <v>114075.0</v>
      </c>
      <c r="I644" s="24">
        <v>4237.59</v>
      </c>
      <c r="J644" s="24">
        <v>1305.88</v>
      </c>
      <c r="K644" s="22" t="s">
        <v>133</v>
      </c>
      <c r="L644" s="29">
        <v>0.0</v>
      </c>
      <c r="M644" s="22" t="s">
        <v>703</v>
      </c>
    </row>
    <row r="645" ht="15.75" customHeight="1">
      <c r="A645" s="22" t="s">
        <v>730</v>
      </c>
      <c r="B645" s="23">
        <v>46187.0</v>
      </c>
      <c r="C645" s="22" t="s">
        <v>38</v>
      </c>
      <c r="D645" s="22" t="s">
        <v>49</v>
      </c>
      <c r="E645" s="29">
        <v>302.0</v>
      </c>
      <c r="F645" s="24">
        <v>235.0</v>
      </c>
      <c r="G645" s="24">
        <v>235.0</v>
      </c>
      <c r="H645" s="24">
        <v>70970.0</v>
      </c>
      <c r="I645" s="24">
        <v>1649.6</v>
      </c>
      <c r="J645" s="24">
        <v>0.0</v>
      </c>
      <c r="K645" s="22" t="s">
        <v>116</v>
      </c>
      <c r="L645" s="29">
        <v>8.0</v>
      </c>
      <c r="M645" s="22" t="s">
        <v>703</v>
      </c>
    </row>
    <row r="646" ht="15.75" customHeight="1">
      <c r="A646" s="22" t="s">
        <v>731</v>
      </c>
      <c r="B646" s="23">
        <v>46187.0</v>
      </c>
      <c r="C646" s="22" t="s">
        <v>48</v>
      </c>
      <c r="D646" s="22" t="s">
        <v>108</v>
      </c>
      <c r="E646" s="29">
        <v>64.0</v>
      </c>
      <c r="F646" s="24">
        <v>1300.0</v>
      </c>
      <c r="G646" s="24">
        <v>1300.0</v>
      </c>
      <c r="H646" s="24">
        <v>83200.0</v>
      </c>
      <c r="I646" s="24">
        <v>1745.67</v>
      </c>
      <c r="J646" s="24">
        <v>454.58</v>
      </c>
      <c r="K646" s="22" t="s">
        <v>109</v>
      </c>
      <c r="L646" s="29">
        <v>0.0</v>
      </c>
      <c r="M646" s="22" t="s">
        <v>703</v>
      </c>
    </row>
    <row r="647" ht="15.75" customHeight="1">
      <c r="A647" s="22" t="s">
        <v>732</v>
      </c>
      <c r="B647" s="23">
        <v>46189.0</v>
      </c>
      <c r="C647" s="22" t="s">
        <v>38</v>
      </c>
      <c r="D647" s="22" t="s">
        <v>10</v>
      </c>
      <c r="E647" s="29">
        <v>315.0</v>
      </c>
      <c r="F647" s="24">
        <v>845.0</v>
      </c>
      <c r="G647" s="24">
        <v>845.0</v>
      </c>
      <c r="H647" s="24">
        <v>266175.0</v>
      </c>
      <c r="I647" s="24">
        <v>16800.26</v>
      </c>
      <c r="J647" s="24">
        <v>0.0</v>
      </c>
      <c r="K647" s="22" t="s">
        <v>116</v>
      </c>
      <c r="L647" s="29">
        <v>7.0</v>
      </c>
      <c r="M647" s="22" t="s">
        <v>703</v>
      </c>
    </row>
    <row r="648" ht="15.75" customHeight="1">
      <c r="A648" s="22" t="s">
        <v>733</v>
      </c>
      <c r="B648" s="23">
        <v>46190.0</v>
      </c>
      <c r="C648" s="22" t="s">
        <v>48</v>
      </c>
      <c r="D648" s="22" t="s">
        <v>108</v>
      </c>
      <c r="E648" s="29">
        <v>168.0</v>
      </c>
      <c r="F648" s="24">
        <v>1300.0</v>
      </c>
      <c r="G648" s="24">
        <v>1300.0</v>
      </c>
      <c r="H648" s="24">
        <v>218400.0</v>
      </c>
      <c r="I648" s="24">
        <v>7670.77</v>
      </c>
      <c r="J648" s="24">
        <v>0.0</v>
      </c>
      <c r="K648" s="22" t="s">
        <v>116</v>
      </c>
      <c r="L648" s="29">
        <v>4.0</v>
      </c>
      <c r="M648" s="22" t="s">
        <v>703</v>
      </c>
    </row>
    <row r="649" ht="15.75" customHeight="1">
      <c r="A649" s="22" t="s">
        <v>734</v>
      </c>
      <c r="B649" s="23">
        <v>46190.0</v>
      </c>
      <c r="C649" s="22" t="s">
        <v>38</v>
      </c>
      <c r="D649" s="22" t="s">
        <v>108</v>
      </c>
      <c r="E649" s="29">
        <v>135.0</v>
      </c>
      <c r="F649" s="24">
        <v>1290.0</v>
      </c>
      <c r="G649" s="24">
        <v>1290.0</v>
      </c>
      <c r="H649" s="24">
        <v>174150.0</v>
      </c>
      <c r="I649" s="24">
        <v>6248.63</v>
      </c>
      <c r="J649" s="24">
        <v>0.0</v>
      </c>
      <c r="K649" s="22" t="s">
        <v>116</v>
      </c>
      <c r="L649" s="29">
        <v>4.0</v>
      </c>
      <c r="M649" s="22" t="s">
        <v>703</v>
      </c>
    </row>
    <row r="650" ht="15.75" customHeight="1">
      <c r="A650" s="22" t="s">
        <v>735</v>
      </c>
      <c r="B650" s="23">
        <v>46190.0</v>
      </c>
      <c r="C650" s="22" t="s">
        <v>38</v>
      </c>
      <c r="D650" s="22" t="s">
        <v>10</v>
      </c>
      <c r="E650" s="29">
        <v>105.0</v>
      </c>
      <c r="F650" s="24">
        <v>845.0</v>
      </c>
      <c r="G650" s="24">
        <v>845.0</v>
      </c>
      <c r="H650" s="24">
        <v>88725.0</v>
      </c>
      <c r="I650" s="24">
        <v>3816.88</v>
      </c>
      <c r="J650" s="24">
        <v>0.0</v>
      </c>
      <c r="K650" s="22" t="s">
        <v>116</v>
      </c>
      <c r="L650" s="29">
        <v>2.0</v>
      </c>
      <c r="M650" s="22" t="s">
        <v>703</v>
      </c>
    </row>
    <row r="651" ht="15.75" customHeight="1">
      <c r="A651" s="22" t="s">
        <v>736</v>
      </c>
      <c r="B651" s="23">
        <v>46190.0</v>
      </c>
      <c r="C651" s="22" t="s">
        <v>48</v>
      </c>
      <c r="D651" s="22" t="s">
        <v>10</v>
      </c>
      <c r="E651" s="29">
        <v>352.0</v>
      </c>
      <c r="F651" s="24">
        <v>850.0</v>
      </c>
      <c r="G651" s="24">
        <v>850.0</v>
      </c>
      <c r="H651" s="24">
        <v>299200.0</v>
      </c>
      <c r="I651" s="24">
        <v>8172.42</v>
      </c>
      <c r="J651" s="24">
        <v>3641.83</v>
      </c>
      <c r="K651" s="22" t="s">
        <v>114</v>
      </c>
      <c r="L651" s="29">
        <v>10.0</v>
      </c>
      <c r="M651" s="22" t="s">
        <v>703</v>
      </c>
    </row>
    <row r="652" ht="15.75" customHeight="1">
      <c r="A652" s="22" t="s">
        <v>737</v>
      </c>
      <c r="B652" s="23">
        <v>46191.0</v>
      </c>
      <c r="C652" s="22" t="s">
        <v>38</v>
      </c>
      <c r="D652" s="22" t="s">
        <v>49</v>
      </c>
      <c r="E652" s="29">
        <v>343.0</v>
      </c>
      <c r="F652" s="24">
        <v>235.0</v>
      </c>
      <c r="G652" s="24">
        <v>235.0</v>
      </c>
      <c r="H652" s="24">
        <v>80605.0</v>
      </c>
      <c r="I652" s="24">
        <v>4046.59</v>
      </c>
      <c r="J652" s="24">
        <v>1319.06</v>
      </c>
      <c r="K652" s="22" t="s">
        <v>114</v>
      </c>
      <c r="L652" s="29">
        <v>11.0</v>
      </c>
      <c r="M652" s="22" t="s">
        <v>703</v>
      </c>
    </row>
    <row r="653" ht="15.75" customHeight="1">
      <c r="A653" s="22" t="s">
        <v>738</v>
      </c>
      <c r="B653" s="23">
        <v>46192.0</v>
      </c>
      <c r="C653" s="22" t="s">
        <v>38</v>
      </c>
      <c r="D653" s="22" t="s">
        <v>10</v>
      </c>
      <c r="E653" s="29">
        <v>684.0</v>
      </c>
      <c r="F653" s="24">
        <v>845.0</v>
      </c>
      <c r="G653" s="24">
        <v>845.0</v>
      </c>
      <c r="H653" s="24">
        <v>577980.0</v>
      </c>
      <c r="I653" s="24">
        <v>23417.33</v>
      </c>
      <c r="J653" s="24">
        <v>0.0</v>
      </c>
      <c r="K653" s="22" t="s">
        <v>116</v>
      </c>
      <c r="L653" s="29">
        <v>14.0</v>
      </c>
      <c r="M653" s="22" t="s">
        <v>703</v>
      </c>
    </row>
    <row r="654" ht="15.75" customHeight="1">
      <c r="A654" s="22" t="s">
        <v>739</v>
      </c>
      <c r="B654" s="23">
        <v>46192.0</v>
      </c>
      <c r="C654" s="22" t="s">
        <v>38</v>
      </c>
      <c r="D654" s="22" t="s">
        <v>10</v>
      </c>
      <c r="E654" s="29">
        <v>342.0</v>
      </c>
      <c r="F654" s="24">
        <v>845.0</v>
      </c>
      <c r="G654" s="24">
        <v>845.0</v>
      </c>
      <c r="H654" s="24">
        <v>288990.0</v>
      </c>
      <c r="I654" s="24">
        <v>8883.62</v>
      </c>
      <c r="J654" s="24">
        <v>4671.43</v>
      </c>
      <c r="K654" s="22" t="s">
        <v>109</v>
      </c>
      <c r="L654" s="29">
        <v>7.0</v>
      </c>
      <c r="M654" s="22" t="s">
        <v>703</v>
      </c>
    </row>
    <row r="655" ht="15.75" customHeight="1">
      <c r="A655" s="22" t="s">
        <v>740</v>
      </c>
      <c r="B655" s="23">
        <v>46192.0</v>
      </c>
      <c r="C655" s="22" t="s">
        <v>48</v>
      </c>
      <c r="D655" s="22" t="s">
        <v>108</v>
      </c>
      <c r="E655" s="29">
        <v>109.0</v>
      </c>
      <c r="F655" s="24">
        <v>1300.0</v>
      </c>
      <c r="G655" s="24">
        <v>1300.0</v>
      </c>
      <c r="H655" s="24">
        <v>141700.0</v>
      </c>
      <c r="I655" s="24">
        <v>6940.04</v>
      </c>
      <c r="J655" s="24">
        <v>0.0</v>
      </c>
      <c r="K655" s="22" t="s">
        <v>116</v>
      </c>
      <c r="L655" s="29">
        <v>0.0</v>
      </c>
      <c r="M655" s="22" t="s">
        <v>703</v>
      </c>
    </row>
    <row r="656" ht="15.75" customHeight="1">
      <c r="A656" s="22" t="s">
        <v>741</v>
      </c>
      <c r="B656" s="23">
        <v>46192.0</v>
      </c>
      <c r="C656" s="22" t="s">
        <v>56</v>
      </c>
      <c r="D656" s="22" t="s">
        <v>49</v>
      </c>
      <c r="E656" s="29">
        <v>153.0</v>
      </c>
      <c r="F656" s="24">
        <v>230.0</v>
      </c>
      <c r="G656" s="24">
        <v>230.0</v>
      </c>
      <c r="H656" s="24">
        <v>35190.0</v>
      </c>
      <c r="I656" s="24">
        <v>1148.99</v>
      </c>
      <c r="J656" s="24">
        <v>0.0</v>
      </c>
      <c r="K656" s="22" t="s">
        <v>116</v>
      </c>
      <c r="L656" s="29">
        <v>2.0</v>
      </c>
      <c r="M656" s="22" t="s">
        <v>703</v>
      </c>
    </row>
    <row r="657" ht="15.75" customHeight="1">
      <c r="A657" s="22" t="s">
        <v>742</v>
      </c>
      <c r="B657" s="23">
        <v>46192.0</v>
      </c>
      <c r="C657" s="22" t="s">
        <v>38</v>
      </c>
      <c r="D657" s="22" t="s">
        <v>108</v>
      </c>
      <c r="E657" s="29">
        <v>411.0</v>
      </c>
      <c r="F657" s="24">
        <v>1290.0</v>
      </c>
      <c r="G657" s="24">
        <v>1290.0</v>
      </c>
      <c r="H657" s="24">
        <v>530190.0</v>
      </c>
      <c r="I657" s="24">
        <v>36960.83</v>
      </c>
      <c r="J657" s="24">
        <v>1049.56</v>
      </c>
      <c r="K657" s="22" t="s">
        <v>114</v>
      </c>
      <c r="L657" s="29">
        <v>8.0</v>
      </c>
      <c r="M657" s="22" t="s">
        <v>703</v>
      </c>
    </row>
    <row r="658" ht="15.75" customHeight="1">
      <c r="A658" s="22" t="s">
        <v>743</v>
      </c>
      <c r="B658" s="23">
        <v>46192.0</v>
      </c>
      <c r="C658" s="22" t="s">
        <v>38</v>
      </c>
      <c r="D658" s="22" t="s">
        <v>49</v>
      </c>
      <c r="E658" s="29">
        <v>147.0</v>
      </c>
      <c r="F658" s="24">
        <v>235.0</v>
      </c>
      <c r="G658" s="24">
        <v>235.0</v>
      </c>
      <c r="H658" s="24">
        <v>34545.0</v>
      </c>
      <c r="I658" s="24">
        <v>888.77</v>
      </c>
      <c r="J658" s="24">
        <v>0.0</v>
      </c>
      <c r="K658" s="22" t="s">
        <v>116</v>
      </c>
      <c r="L658" s="29">
        <v>6.0</v>
      </c>
      <c r="M658" s="22" t="s">
        <v>703</v>
      </c>
    </row>
    <row r="659" ht="15.75" customHeight="1">
      <c r="A659" s="22" t="s">
        <v>744</v>
      </c>
      <c r="B659" s="23">
        <v>46193.0</v>
      </c>
      <c r="C659" s="22" t="s">
        <v>56</v>
      </c>
      <c r="D659" s="22" t="s">
        <v>10</v>
      </c>
      <c r="E659" s="29">
        <v>175.0</v>
      </c>
      <c r="F659" s="24">
        <v>820.0</v>
      </c>
      <c r="G659" s="24">
        <v>820.0</v>
      </c>
      <c r="H659" s="24">
        <v>143500.0</v>
      </c>
      <c r="I659" s="24">
        <v>4447.52</v>
      </c>
      <c r="J659" s="24">
        <v>0.0</v>
      </c>
      <c r="K659" s="22" t="s">
        <v>116</v>
      </c>
      <c r="L659" s="29">
        <v>2.0</v>
      </c>
      <c r="M659" s="22" t="s">
        <v>703</v>
      </c>
    </row>
    <row r="660" ht="15.75" customHeight="1">
      <c r="A660" s="22" t="s">
        <v>745</v>
      </c>
      <c r="B660" s="23">
        <v>46194.0</v>
      </c>
      <c r="C660" s="22" t="s">
        <v>56</v>
      </c>
      <c r="D660" s="22" t="s">
        <v>49</v>
      </c>
      <c r="E660" s="29">
        <v>254.0</v>
      </c>
      <c r="F660" s="24">
        <v>230.0</v>
      </c>
      <c r="G660" s="24">
        <v>230.0</v>
      </c>
      <c r="H660" s="24">
        <v>58420.0</v>
      </c>
      <c r="I660" s="24">
        <v>1629.28</v>
      </c>
      <c r="J660" s="24">
        <v>0.0</v>
      </c>
      <c r="K660" s="22" t="s">
        <v>116</v>
      </c>
      <c r="L660" s="29">
        <v>13.0</v>
      </c>
      <c r="M660" s="22" t="s">
        <v>703</v>
      </c>
    </row>
    <row r="661" ht="15.75" customHeight="1">
      <c r="A661" s="22" t="s">
        <v>746</v>
      </c>
      <c r="B661" s="23">
        <v>46195.0</v>
      </c>
      <c r="C661" s="22" t="s">
        <v>48</v>
      </c>
      <c r="D661" s="22" t="s">
        <v>10</v>
      </c>
      <c r="E661" s="29">
        <v>218.0</v>
      </c>
      <c r="F661" s="24">
        <v>850.0</v>
      </c>
      <c r="G661" s="24">
        <v>850.0</v>
      </c>
      <c r="H661" s="24">
        <v>185300.0</v>
      </c>
      <c r="I661" s="24">
        <v>8515.68</v>
      </c>
      <c r="J661" s="24">
        <v>676.4</v>
      </c>
      <c r="K661" s="22" t="s">
        <v>114</v>
      </c>
      <c r="L661" s="29">
        <v>8.0</v>
      </c>
      <c r="M661" s="22" t="s">
        <v>703</v>
      </c>
    </row>
    <row r="662" ht="15.75" customHeight="1">
      <c r="A662" s="22" t="s">
        <v>747</v>
      </c>
      <c r="B662" s="23">
        <v>46196.0</v>
      </c>
      <c r="C662" s="22" t="s">
        <v>38</v>
      </c>
      <c r="D662" s="22" t="s">
        <v>49</v>
      </c>
      <c r="E662" s="29">
        <v>307.0</v>
      </c>
      <c r="F662" s="24">
        <v>235.0</v>
      </c>
      <c r="G662" s="24">
        <v>235.0</v>
      </c>
      <c r="H662" s="24">
        <v>72145.0</v>
      </c>
      <c r="I662" s="24">
        <v>2953.72</v>
      </c>
      <c r="J662" s="24">
        <v>857.5</v>
      </c>
      <c r="K662" s="22" t="s">
        <v>112</v>
      </c>
      <c r="L662" s="29">
        <v>13.0</v>
      </c>
      <c r="M662" s="22" t="s">
        <v>703</v>
      </c>
    </row>
    <row r="663" ht="15.75" customHeight="1">
      <c r="A663" s="22" t="s">
        <v>748</v>
      </c>
      <c r="B663" s="23">
        <v>46196.0</v>
      </c>
      <c r="C663" s="22" t="s">
        <v>38</v>
      </c>
      <c r="D663" s="22" t="s">
        <v>10</v>
      </c>
      <c r="E663" s="29">
        <v>161.0</v>
      </c>
      <c r="F663" s="24">
        <v>845.0</v>
      </c>
      <c r="G663" s="24">
        <v>845.0</v>
      </c>
      <c r="H663" s="24">
        <v>136045.0</v>
      </c>
      <c r="I663" s="24">
        <v>9859.02</v>
      </c>
      <c r="J663" s="24">
        <v>2373.44</v>
      </c>
      <c r="K663" s="22" t="s">
        <v>112</v>
      </c>
      <c r="L663" s="29">
        <v>0.0</v>
      </c>
      <c r="M663" s="22" t="s">
        <v>703</v>
      </c>
    </row>
    <row r="664" ht="15.75" customHeight="1">
      <c r="A664" s="22" t="s">
        <v>749</v>
      </c>
      <c r="B664" s="23">
        <v>46197.0</v>
      </c>
      <c r="C664" s="22" t="s">
        <v>48</v>
      </c>
      <c r="D664" s="22" t="s">
        <v>49</v>
      </c>
      <c r="E664" s="29">
        <v>249.0</v>
      </c>
      <c r="F664" s="24">
        <v>240.0</v>
      </c>
      <c r="G664" s="24">
        <v>240.0</v>
      </c>
      <c r="H664" s="24">
        <v>59760.0</v>
      </c>
      <c r="I664" s="24">
        <v>1182.05</v>
      </c>
      <c r="J664" s="24">
        <v>204.9</v>
      </c>
      <c r="K664" s="22" t="s">
        <v>114</v>
      </c>
      <c r="L664" s="29">
        <v>5.0</v>
      </c>
      <c r="M664" s="22" t="s">
        <v>703</v>
      </c>
    </row>
    <row r="665" ht="15.75" customHeight="1">
      <c r="A665" s="22" t="s">
        <v>750</v>
      </c>
      <c r="B665" s="23">
        <v>46197.0</v>
      </c>
      <c r="C665" s="22" t="s">
        <v>48</v>
      </c>
      <c r="D665" s="22" t="s">
        <v>10</v>
      </c>
      <c r="E665" s="29">
        <v>311.0</v>
      </c>
      <c r="F665" s="24">
        <v>850.0</v>
      </c>
      <c r="G665" s="24">
        <v>850.0</v>
      </c>
      <c r="H665" s="24">
        <v>264350.0</v>
      </c>
      <c r="I665" s="24">
        <v>12890.88</v>
      </c>
      <c r="J665" s="24">
        <v>2376.46</v>
      </c>
      <c r="K665" s="22" t="s">
        <v>133</v>
      </c>
      <c r="L665" s="29">
        <v>6.0</v>
      </c>
      <c r="M665" s="22" t="s">
        <v>703</v>
      </c>
    </row>
    <row r="666" ht="15.75" customHeight="1">
      <c r="A666" s="22" t="s">
        <v>751</v>
      </c>
      <c r="B666" s="23">
        <v>46197.0</v>
      </c>
      <c r="C666" s="22" t="s">
        <v>48</v>
      </c>
      <c r="D666" s="22" t="s">
        <v>49</v>
      </c>
      <c r="E666" s="29">
        <v>608.0</v>
      </c>
      <c r="F666" s="24">
        <v>240.0</v>
      </c>
      <c r="G666" s="24">
        <v>240.0</v>
      </c>
      <c r="H666" s="24">
        <v>145920.0</v>
      </c>
      <c r="I666" s="24">
        <v>7126.15</v>
      </c>
      <c r="J666" s="24">
        <v>2318.58</v>
      </c>
      <c r="K666" s="22" t="s">
        <v>112</v>
      </c>
      <c r="L666" s="29">
        <v>18.0</v>
      </c>
      <c r="M666" s="22" t="s">
        <v>703</v>
      </c>
    </row>
    <row r="667" ht="15.75" customHeight="1">
      <c r="A667" s="22" t="s">
        <v>752</v>
      </c>
      <c r="B667" s="23">
        <v>46198.0</v>
      </c>
      <c r="C667" s="22" t="s">
        <v>48</v>
      </c>
      <c r="D667" s="22" t="s">
        <v>10</v>
      </c>
      <c r="E667" s="29">
        <v>347.0</v>
      </c>
      <c r="F667" s="24">
        <v>850.0</v>
      </c>
      <c r="G667" s="24">
        <v>850.0</v>
      </c>
      <c r="H667" s="24">
        <v>294950.0</v>
      </c>
      <c r="I667" s="24">
        <v>11843.77</v>
      </c>
      <c r="J667" s="24">
        <v>734.3</v>
      </c>
      <c r="K667" s="22" t="s">
        <v>109</v>
      </c>
      <c r="L667" s="29">
        <v>15.0</v>
      </c>
      <c r="M667" s="22" t="s">
        <v>703</v>
      </c>
    </row>
    <row r="668" ht="15.75" customHeight="1">
      <c r="A668" s="22" t="s">
        <v>753</v>
      </c>
      <c r="B668" s="23">
        <v>46198.0</v>
      </c>
      <c r="C668" s="22" t="s">
        <v>56</v>
      </c>
      <c r="D668" s="22" t="s">
        <v>108</v>
      </c>
      <c r="E668" s="29">
        <v>98.0</v>
      </c>
      <c r="F668" s="24">
        <v>1250.0</v>
      </c>
      <c r="G668" s="24">
        <v>1250.0</v>
      </c>
      <c r="H668" s="24">
        <v>122500.0</v>
      </c>
      <c r="I668" s="24">
        <v>2045.52</v>
      </c>
      <c r="J668" s="24">
        <v>1307.26</v>
      </c>
      <c r="K668" s="22" t="s">
        <v>112</v>
      </c>
      <c r="L668" s="29">
        <v>3.0</v>
      </c>
      <c r="M668" s="22" t="s">
        <v>703</v>
      </c>
    </row>
    <row r="669" ht="15.75" customHeight="1">
      <c r="A669" s="22" t="s">
        <v>754</v>
      </c>
      <c r="B669" s="23">
        <v>46199.0</v>
      </c>
      <c r="C669" s="22" t="s">
        <v>38</v>
      </c>
      <c r="D669" s="22" t="s">
        <v>49</v>
      </c>
      <c r="E669" s="29">
        <v>176.0</v>
      </c>
      <c r="F669" s="24">
        <v>235.0</v>
      </c>
      <c r="G669" s="24">
        <v>235.0</v>
      </c>
      <c r="H669" s="24">
        <v>41360.0</v>
      </c>
      <c r="I669" s="24">
        <v>1128.5</v>
      </c>
      <c r="J669" s="24">
        <v>0.0</v>
      </c>
      <c r="K669" s="22" t="s">
        <v>116</v>
      </c>
      <c r="L669" s="29">
        <v>7.0</v>
      </c>
      <c r="M669" s="22" t="s">
        <v>703</v>
      </c>
    </row>
    <row r="670" ht="15.75" customHeight="1">
      <c r="A670" s="22" t="s">
        <v>755</v>
      </c>
      <c r="B670" s="23">
        <v>46200.0</v>
      </c>
      <c r="C670" s="22" t="s">
        <v>38</v>
      </c>
      <c r="D670" s="22" t="s">
        <v>108</v>
      </c>
      <c r="E670" s="29">
        <v>307.0</v>
      </c>
      <c r="F670" s="24">
        <v>1290.0</v>
      </c>
      <c r="G670" s="24">
        <v>1290.0</v>
      </c>
      <c r="H670" s="24">
        <v>396030.0</v>
      </c>
      <c r="I670" s="24">
        <v>22287.57</v>
      </c>
      <c r="J670" s="24">
        <v>0.0</v>
      </c>
      <c r="K670" s="22" t="s">
        <v>116</v>
      </c>
      <c r="L670" s="29">
        <v>4.0</v>
      </c>
      <c r="M670" s="22" t="s">
        <v>703</v>
      </c>
    </row>
    <row r="671" ht="15.75" customHeight="1">
      <c r="A671" s="22" t="s">
        <v>756</v>
      </c>
      <c r="B671" s="23">
        <v>46200.0</v>
      </c>
      <c r="C671" s="22" t="s">
        <v>38</v>
      </c>
      <c r="D671" s="22" t="s">
        <v>49</v>
      </c>
      <c r="E671" s="29">
        <v>296.0</v>
      </c>
      <c r="F671" s="24">
        <v>235.0</v>
      </c>
      <c r="G671" s="24">
        <v>235.0</v>
      </c>
      <c r="H671" s="24">
        <v>69560.0</v>
      </c>
      <c r="I671" s="24">
        <v>3337.62</v>
      </c>
      <c r="J671" s="24">
        <v>903.55</v>
      </c>
      <c r="K671" s="22" t="s">
        <v>112</v>
      </c>
      <c r="L671" s="29">
        <v>12.0</v>
      </c>
      <c r="M671" s="22" t="s">
        <v>703</v>
      </c>
    </row>
    <row r="672" ht="15.75" customHeight="1">
      <c r="A672" s="22" t="s">
        <v>757</v>
      </c>
      <c r="B672" s="23">
        <v>46201.0</v>
      </c>
      <c r="C672" s="22" t="s">
        <v>48</v>
      </c>
      <c r="D672" s="22" t="s">
        <v>49</v>
      </c>
      <c r="E672" s="29">
        <v>203.0</v>
      </c>
      <c r="F672" s="24">
        <v>240.0</v>
      </c>
      <c r="G672" s="24">
        <v>240.0</v>
      </c>
      <c r="H672" s="24">
        <v>48720.0</v>
      </c>
      <c r="I672" s="24">
        <v>939.64</v>
      </c>
      <c r="J672" s="24">
        <v>642.19</v>
      </c>
      <c r="K672" s="22" t="s">
        <v>133</v>
      </c>
      <c r="L672" s="29">
        <v>8.0</v>
      </c>
      <c r="M672" s="22" t="s">
        <v>703</v>
      </c>
    </row>
    <row r="673" ht="15.75" customHeight="1">
      <c r="A673" s="22" t="s">
        <v>758</v>
      </c>
      <c r="B673" s="23">
        <v>46201.0</v>
      </c>
      <c r="C673" s="22" t="s">
        <v>48</v>
      </c>
      <c r="D673" s="22" t="s">
        <v>10</v>
      </c>
      <c r="E673" s="29">
        <v>762.0</v>
      </c>
      <c r="F673" s="24">
        <v>850.0</v>
      </c>
      <c r="G673" s="24">
        <v>850.0</v>
      </c>
      <c r="H673" s="24">
        <v>647700.0</v>
      </c>
      <c r="I673" s="24">
        <v>22049.15</v>
      </c>
      <c r="J673" s="24">
        <v>9957.64</v>
      </c>
      <c r="K673" s="22" t="s">
        <v>114</v>
      </c>
      <c r="L673" s="29">
        <v>17.0</v>
      </c>
      <c r="M673" s="22" t="s">
        <v>703</v>
      </c>
    </row>
    <row r="674" ht="15.75" customHeight="1">
      <c r="A674" s="22" t="s">
        <v>759</v>
      </c>
      <c r="B674" s="23">
        <v>46201.0</v>
      </c>
      <c r="C674" s="22" t="s">
        <v>48</v>
      </c>
      <c r="D674" s="22" t="s">
        <v>10</v>
      </c>
      <c r="E674" s="29">
        <v>350.0</v>
      </c>
      <c r="F674" s="24">
        <v>850.0</v>
      </c>
      <c r="G674" s="24">
        <v>850.0</v>
      </c>
      <c r="H674" s="24">
        <v>297500.0</v>
      </c>
      <c r="I674" s="24">
        <v>13749.22</v>
      </c>
      <c r="J674" s="24">
        <v>0.0</v>
      </c>
      <c r="K674" s="22" t="s">
        <v>116</v>
      </c>
      <c r="L674" s="29">
        <v>7.0</v>
      </c>
      <c r="M674" s="22" t="s">
        <v>703</v>
      </c>
    </row>
    <row r="675" ht="15.75" customHeight="1">
      <c r="A675" s="22" t="s">
        <v>760</v>
      </c>
      <c r="B675" s="23">
        <v>46202.0</v>
      </c>
      <c r="C675" s="22" t="s">
        <v>38</v>
      </c>
      <c r="D675" s="22" t="s">
        <v>49</v>
      </c>
      <c r="E675" s="29">
        <v>363.0</v>
      </c>
      <c r="F675" s="24">
        <v>235.0</v>
      </c>
      <c r="G675" s="24">
        <v>235.0</v>
      </c>
      <c r="H675" s="24">
        <v>85305.0</v>
      </c>
      <c r="I675" s="24">
        <v>3267.84</v>
      </c>
      <c r="J675" s="24">
        <v>882.13</v>
      </c>
      <c r="K675" s="22" t="s">
        <v>109</v>
      </c>
      <c r="L675" s="29">
        <v>15.0</v>
      </c>
      <c r="M675" s="22" t="s">
        <v>703</v>
      </c>
    </row>
    <row r="676" ht="15.75" customHeight="1">
      <c r="A676" s="22" t="s">
        <v>761</v>
      </c>
      <c r="B676" s="23">
        <v>46203.0</v>
      </c>
      <c r="C676" s="22" t="s">
        <v>38</v>
      </c>
      <c r="D676" s="22" t="s">
        <v>108</v>
      </c>
      <c r="E676" s="29">
        <v>350.0</v>
      </c>
      <c r="F676" s="24">
        <v>1290.0</v>
      </c>
      <c r="G676" s="24">
        <v>1290.0</v>
      </c>
      <c r="H676" s="24">
        <v>451500.0</v>
      </c>
      <c r="I676" s="24">
        <v>18391.7</v>
      </c>
      <c r="J676" s="24">
        <v>0.0</v>
      </c>
      <c r="K676" s="22" t="s">
        <v>116</v>
      </c>
      <c r="L676" s="29">
        <v>4.0</v>
      </c>
      <c r="M676" s="22" t="s">
        <v>703</v>
      </c>
    </row>
    <row r="677" ht="15.75" customHeight="1">
      <c r="A677" s="22" t="s">
        <v>762</v>
      </c>
      <c r="B677" s="23">
        <v>46204.0</v>
      </c>
      <c r="C677" s="22" t="s">
        <v>38</v>
      </c>
      <c r="D677" s="22" t="s">
        <v>108</v>
      </c>
      <c r="E677" s="29">
        <v>270.0</v>
      </c>
      <c r="F677" s="24">
        <v>1290.0</v>
      </c>
      <c r="G677" s="24">
        <v>1290.0</v>
      </c>
      <c r="H677" s="24">
        <v>348300.0</v>
      </c>
      <c r="I677" s="24">
        <v>24998.86</v>
      </c>
      <c r="J677" s="24">
        <v>0.0</v>
      </c>
      <c r="K677" s="22" t="s">
        <v>116</v>
      </c>
      <c r="L677" s="29">
        <v>2.0</v>
      </c>
      <c r="M677" s="22" t="s">
        <v>763</v>
      </c>
    </row>
    <row r="678" ht="15.75" customHeight="1">
      <c r="A678" s="22" t="s">
        <v>764</v>
      </c>
      <c r="B678" s="23">
        <v>46204.0</v>
      </c>
      <c r="C678" s="22" t="s">
        <v>38</v>
      </c>
      <c r="D678" s="22" t="s">
        <v>49</v>
      </c>
      <c r="E678" s="29">
        <v>98.0</v>
      </c>
      <c r="F678" s="24">
        <v>235.0</v>
      </c>
      <c r="G678" s="24">
        <v>235.0</v>
      </c>
      <c r="H678" s="24">
        <v>23030.0</v>
      </c>
      <c r="I678" s="24">
        <v>490.62</v>
      </c>
      <c r="J678" s="24">
        <v>0.0</v>
      </c>
      <c r="K678" s="22" t="s">
        <v>116</v>
      </c>
      <c r="L678" s="29">
        <v>0.0</v>
      </c>
      <c r="M678" s="22" t="s">
        <v>763</v>
      </c>
    </row>
    <row r="679" ht="15.75" customHeight="1">
      <c r="A679" s="22" t="s">
        <v>765</v>
      </c>
      <c r="B679" s="23">
        <v>46204.0</v>
      </c>
      <c r="C679" s="22" t="s">
        <v>56</v>
      </c>
      <c r="D679" s="22" t="s">
        <v>108</v>
      </c>
      <c r="E679" s="29">
        <v>268.0</v>
      </c>
      <c r="F679" s="24">
        <v>1250.0</v>
      </c>
      <c r="G679" s="24">
        <v>1250.0</v>
      </c>
      <c r="H679" s="24">
        <v>335000.0</v>
      </c>
      <c r="I679" s="24">
        <v>8457.87</v>
      </c>
      <c r="J679" s="24">
        <v>0.0</v>
      </c>
      <c r="K679" s="22" t="s">
        <v>116</v>
      </c>
      <c r="L679" s="29">
        <v>6.0</v>
      </c>
      <c r="M679" s="22" t="s">
        <v>763</v>
      </c>
    </row>
    <row r="680" ht="15.75" customHeight="1">
      <c r="A680" s="22" t="s">
        <v>766</v>
      </c>
      <c r="B680" s="23">
        <v>46205.0</v>
      </c>
      <c r="C680" s="22" t="s">
        <v>48</v>
      </c>
      <c r="D680" s="22" t="s">
        <v>49</v>
      </c>
      <c r="E680" s="29">
        <v>87.0</v>
      </c>
      <c r="F680" s="24">
        <v>240.0</v>
      </c>
      <c r="G680" s="24">
        <v>240.0</v>
      </c>
      <c r="H680" s="24">
        <v>20880.0</v>
      </c>
      <c r="I680" s="24">
        <v>952.4</v>
      </c>
      <c r="J680" s="24">
        <v>0.0</v>
      </c>
      <c r="K680" s="22" t="s">
        <v>116</v>
      </c>
      <c r="L680" s="29">
        <v>4.0</v>
      </c>
      <c r="M680" s="22" t="s">
        <v>763</v>
      </c>
    </row>
    <row r="681" ht="15.75" customHeight="1">
      <c r="A681" s="22" t="s">
        <v>767</v>
      </c>
      <c r="B681" s="23">
        <v>46206.0</v>
      </c>
      <c r="C681" s="22" t="s">
        <v>38</v>
      </c>
      <c r="D681" s="22" t="s">
        <v>10</v>
      </c>
      <c r="E681" s="29">
        <v>556.0</v>
      </c>
      <c r="F681" s="24">
        <v>845.0</v>
      </c>
      <c r="G681" s="24">
        <v>845.0</v>
      </c>
      <c r="H681" s="24">
        <v>469820.0</v>
      </c>
      <c r="I681" s="24">
        <v>25859.35</v>
      </c>
      <c r="J681" s="24">
        <v>0.0</v>
      </c>
      <c r="K681" s="22" t="s">
        <v>116</v>
      </c>
      <c r="L681" s="29">
        <v>7.0</v>
      </c>
      <c r="M681" s="22" t="s">
        <v>763</v>
      </c>
    </row>
    <row r="682" ht="15.75" customHeight="1">
      <c r="A682" s="22" t="s">
        <v>768</v>
      </c>
      <c r="B682" s="23">
        <v>46206.0</v>
      </c>
      <c r="C682" s="22" t="s">
        <v>48</v>
      </c>
      <c r="D682" s="22" t="s">
        <v>10</v>
      </c>
      <c r="E682" s="29">
        <v>84.0</v>
      </c>
      <c r="F682" s="24">
        <v>850.0</v>
      </c>
      <c r="G682" s="24">
        <v>850.0</v>
      </c>
      <c r="H682" s="24">
        <v>71400.0</v>
      </c>
      <c r="I682" s="24">
        <v>3050.56</v>
      </c>
      <c r="J682" s="24">
        <v>0.0</v>
      </c>
      <c r="K682" s="22" t="s">
        <v>116</v>
      </c>
      <c r="L682" s="29">
        <v>2.0</v>
      </c>
      <c r="M682" s="22" t="s">
        <v>763</v>
      </c>
    </row>
    <row r="683" ht="15.75" customHeight="1">
      <c r="A683" s="22" t="s">
        <v>769</v>
      </c>
      <c r="B683" s="23">
        <v>46206.0</v>
      </c>
      <c r="C683" s="22" t="s">
        <v>48</v>
      </c>
      <c r="D683" s="22" t="s">
        <v>10</v>
      </c>
      <c r="E683" s="29">
        <v>334.0</v>
      </c>
      <c r="F683" s="24">
        <v>850.0</v>
      </c>
      <c r="G683" s="24">
        <v>850.0</v>
      </c>
      <c r="H683" s="24">
        <v>283900.0</v>
      </c>
      <c r="I683" s="24">
        <v>14350.88</v>
      </c>
      <c r="J683" s="24">
        <v>2660.85</v>
      </c>
      <c r="K683" s="22" t="s">
        <v>109</v>
      </c>
      <c r="L683" s="29">
        <v>3.0</v>
      </c>
      <c r="M683" s="22" t="s">
        <v>763</v>
      </c>
    </row>
    <row r="684" ht="15.75" customHeight="1">
      <c r="A684" s="22" t="s">
        <v>770</v>
      </c>
      <c r="B684" s="23">
        <v>46207.0</v>
      </c>
      <c r="C684" s="22" t="s">
        <v>48</v>
      </c>
      <c r="D684" s="22" t="s">
        <v>10</v>
      </c>
      <c r="E684" s="29">
        <v>297.0</v>
      </c>
      <c r="F684" s="24">
        <v>850.0</v>
      </c>
      <c r="G684" s="24">
        <v>850.0</v>
      </c>
      <c r="H684" s="24">
        <v>252450.0</v>
      </c>
      <c r="I684" s="24">
        <v>4981.74</v>
      </c>
      <c r="J684" s="24">
        <v>2778.15</v>
      </c>
      <c r="K684" s="22" t="s">
        <v>133</v>
      </c>
      <c r="L684" s="29">
        <v>8.0</v>
      </c>
      <c r="M684" s="22" t="s">
        <v>763</v>
      </c>
    </row>
    <row r="685" ht="15.75" customHeight="1">
      <c r="A685" s="22" t="s">
        <v>771</v>
      </c>
      <c r="B685" s="23">
        <v>46207.0</v>
      </c>
      <c r="C685" s="22" t="s">
        <v>48</v>
      </c>
      <c r="D685" s="22" t="s">
        <v>49</v>
      </c>
      <c r="E685" s="29">
        <v>50.0</v>
      </c>
      <c r="F685" s="24">
        <v>240.0</v>
      </c>
      <c r="G685" s="24">
        <v>240.0</v>
      </c>
      <c r="H685" s="24">
        <v>12000.0</v>
      </c>
      <c r="I685" s="24">
        <v>635.93</v>
      </c>
      <c r="J685" s="24">
        <v>24.47</v>
      </c>
      <c r="K685" s="22" t="s">
        <v>114</v>
      </c>
      <c r="L685" s="29">
        <v>3.0</v>
      </c>
      <c r="M685" s="22" t="s">
        <v>763</v>
      </c>
    </row>
    <row r="686" ht="15.75" customHeight="1">
      <c r="A686" s="22" t="s">
        <v>772</v>
      </c>
      <c r="B686" s="23">
        <v>46208.0</v>
      </c>
      <c r="C686" s="22" t="s">
        <v>48</v>
      </c>
      <c r="D686" s="22" t="s">
        <v>10</v>
      </c>
      <c r="E686" s="29">
        <v>182.0</v>
      </c>
      <c r="F686" s="24">
        <v>850.0</v>
      </c>
      <c r="G686" s="24">
        <v>850.0</v>
      </c>
      <c r="H686" s="24">
        <v>154700.0</v>
      </c>
      <c r="I686" s="24">
        <v>5639.48</v>
      </c>
      <c r="J686" s="24">
        <v>1825.82</v>
      </c>
      <c r="K686" s="22" t="s">
        <v>109</v>
      </c>
      <c r="L686" s="29">
        <v>2.0</v>
      </c>
      <c r="M686" s="22" t="s">
        <v>763</v>
      </c>
    </row>
    <row r="687" ht="15.75" customHeight="1">
      <c r="A687" s="22" t="s">
        <v>773</v>
      </c>
      <c r="B687" s="23">
        <v>46208.0</v>
      </c>
      <c r="C687" s="22" t="s">
        <v>48</v>
      </c>
      <c r="D687" s="22" t="s">
        <v>49</v>
      </c>
      <c r="E687" s="29">
        <v>1122.0</v>
      </c>
      <c r="F687" s="24">
        <v>240.0</v>
      </c>
      <c r="G687" s="24">
        <v>240.0</v>
      </c>
      <c r="H687" s="24">
        <v>269280.0</v>
      </c>
      <c r="I687" s="24">
        <v>10576.37</v>
      </c>
      <c r="J687" s="24">
        <v>0.0</v>
      </c>
      <c r="K687" s="22" t="s">
        <v>116</v>
      </c>
      <c r="L687" s="29">
        <v>34.0</v>
      </c>
      <c r="M687" s="22" t="s">
        <v>763</v>
      </c>
    </row>
    <row r="688" ht="15.75" customHeight="1">
      <c r="A688" s="22" t="s">
        <v>774</v>
      </c>
      <c r="B688" s="23">
        <v>46209.0</v>
      </c>
      <c r="C688" s="22" t="s">
        <v>38</v>
      </c>
      <c r="D688" s="22" t="s">
        <v>49</v>
      </c>
      <c r="E688" s="29">
        <v>97.0</v>
      </c>
      <c r="F688" s="24">
        <v>235.0</v>
      </c>
      <c r="G688" s="24">
        <v>235.0</v>
      </c>
      <c r="H688" s="24">
        <v>22795.0</v>
      </c>
      <c r="I688" s="24">
        <v>823.12</v>
      </c>
      <c r="J688" s="24">
        <v>26.41</v>
      </c>
      <c r="K688" s="22" t="s">
        <v>114</v>
      </c>
      <c r="L688" s="29">
        <v>4.0</v>
      </c>
      <c r="M688" s="22" t="s">
        <v>763</v>
      </c>
    </row>
    <row r="689" ht="15.75" customHeight="1">
      <c r="A689" s="22" t="s">
        <v>775</v>
      </c>
      <c r="B689" s="23">
        <v>46211.0</v>
      </c>
      <c r="C689" s="22" t="s">
        <v>48</v>
      </c>
      <c r="D689" s="22" t="s">
        <v>108</v>
      </c>
      <c r="E689" s="29">
        <v>158.0</v>
      </c>
      <c r="F689" s="24">
        <v>1300.0</v>
      </c>
      <c r="G689" s="24">
        <v>1300.0</v>
      </c>
      <c r="H689" s="24">
        <v>205400.0</v>
      </c>
      <c r="I689" s="24">
        <v>10691.8</v>
      </c>
      <c r="J689" s="24">
        <v>3269.29</v>
      </c>
      <c r="K689" s="22" t="s">
        <v>109</v>
      </c>
      <c r="L689" s="29">
        <v>7.0</v>
      </c>
      <c r="M689" s="22" t="s">
        <v>763</v>
      </c>
    </row>
    <row r="690" ht="15.75" customHeight="1">
      <c r="A690" s="22" t="s">
        <v>776</v>
      </c>
      <c r="B690" s="23">
        <v>46212.0</v>
      </c>
      <c r="C690" s="22" t="s">
        <v>48</v>
      </c>
      <c r="D690" s="22" t="s">
        <v>10</v>
      </c>
      <c r="E690" s="29">
        <v>956.0</v>
      </c>
      <c r="F690" s="24">
        <v>850.0</v>
      </c>
      <c r="G690" s="24">
        <v>850.0</v>
      </c>
      <c r="H690" s="24">
        <v>812600.0</v>
      </c>
      <c r="I690" s="24">
        <v>32761.68</v>
      </c>
      <c r="J690" s="24">
        <v>0.0</v>
      </c>
      <c r="K690" s="22" t="s">
        <v>116</v>
      </c>
      <c r="L690" s="29">
        <v>18.0</v>
      </c>
      <c r="M690" s="22" t="s">
        <v>763</v>
      </c>
    </row>
    <row r="691" ht="15.75" customHeight="1">
      <c r="A691" s="22" t="s">
        <v>777</v>
      </c>
      <c r="B691" s="23">
        <v>46212.0</v>
      </c>
      <c r="C691" s="22" t="s">
        <v>38</v>
      </c>
      <c r="D691" s="22" t="s">
        <v>49</v>
      </c>
      <c r="E691" s="29">
        <v>372.0</v>
      </c>
      <c r="F691" s="24">
        <v>235.0</v>
      </c>
      <c r="G691" s="24">
        <v>235.0</v>
      </c>
      <c r="H691" s="24">
        <v>87420.0</v>
      </c>
      <c r="I691" s="24">
        <v>4605.96</v>
      </c>
      <c r="J691" s="24">
        <v>0.0</v>
      </c>
      <c r="K691" s="22" t="s">
        <v>116</v>
      </c>
      <c r="L691" s="29">
        <v>14.0</v>
      </c>
      <c r="M691" s="22" t="s">
        <v>763</v>
      </c>
    </row>
    <row r="692" ht="15.75" customHeight="1">
      <c r="A692" s="22" t="s">
        <v>778</v>
      </c>
      <c r="B692" s="23">
        <v>46213.0</v>
      </c>
      <c r="C692" s="22" t="s">
        <v>48</v>
      </c>
      <c r="D692" s="22" t="s">
        <v>10</v>
      </c>
      <c r="E692" s="29">
        <v>174.0</v>
      </c>
      <c r="F692" s="24">
        <v>850.0</v>
      </c>
      <c r="G692" s="24">
        <v>850.0</v>
      </c>
      <c r="H692" s="24">
        <v>147900.0</v>
      </c>
      <c r="I692" s="24">
        <v>6709.76</v>
      </c>
      <c r="J692" s="24">
        <v>0.0</v>
      </c>
      <c r="K692" s="22" t="s">
        <v>116</v>
      </c>
      <c r="L692" s="29">
        <v>4.0</v>
      </c>
      <c r="M692" s="22" t="s">
        <v>763</v>
      </c>
    </row>
    <row r="693" ht="15.75" customHeight="1">
      <c r="A693" s="22" t="s">
        <v>779</v>
      </c>
      <c r="B693" s="23">
        <v>46213.0</v>
      </c>
      <c r="C693" s="22" t="s">
        <v>48</v>
      </c>
      <c r="D693" s="22" t="s">
        <v>108</v>
      </c>
      <c r="E693" s="29">
        <v>388.0</v>
      </c>
      <c r="F693" s="24">
        <v>1300.0</v>
      </c>
      <c r="G693" s="24">
        <v>1300.0</v>
      </c>
      <c r="H693" s="24">
        <v>504400.0</v>
      </c>
      <c r="I693" s="24">
        <v>9082.0</v>
      </c>
      <c r="J693" s="24">
        <v>6001.4</v>
      </c>
      <c r="K693" s="22" t="s">
        <v>109</v>
      </c>
      <c r="L693" s="29">
        <v>6.0</v>
      </c>
      <c r="M693" s="22" t="s">
        <v>763</v>
      </c>
    </row>
    <row r="694" ht="15.75" customHeight="1">
      <c r="A694" s="22" t="s">
        <v>780</v>
      </c>
      <c r="B694" s="23">
        <v>46214.0</v>
      </c>
      <c r="C694" s="22" t="s">
        <v>48</v>
      </c>
      <c r="D694" s="22" t="s">
        <v>49</v>
      </c>
      <c r="E694" s="29">
        <v>110.0</v>
      </c>
      <c r="F694" s="24">
        <v>240.0</v>
      </c>
      <c r="G694" s="24">
        <v>240.0</v>
      </c>
      <c r="H694" s="24">
        <v>26400.0</v>
      </c>
      <c r="I694" s="24">
        <v>439.17</v>
      </c>
      <c r="J694" s="24">
        <v>0.0</v>
      </c>
      <c r="K694" s="22" t="s">
        <v>116</v>
      </c>
      <c r="L694" s="29">
        <v>3.0</v>
      </c>
      <c r="M694" s="22" t="s">
        <v>763</v>
      </c>
    </row>
    <row r="695" ht="15.75" customHeight="1">
      <c r="A695" s="22" t="s">
        <v>781</v>
      </c>
      <c r="B695" s="23">
        <v>46214.0</v>
      </c>
      <c r="C695" s="22" t="s">
        <v>48</v>
      </c>
      <c r="D695" s="22" t="s">
        <v>49</v>
      </c>
      <c r="E695" s="29">
        <v>1115.0</v>
      </c>
      <c r="F695" s="24">
        <v>240.0</v>
      </c>
      <c r="G695" s="24">
        <v>240.0</v>
      </c>
      <c r="H695" s="24">
        <v>267600.0</v>
      </c>
      <c r="I695" s="24">
        <v>13380.81</v>
      </c>
      <c r="J695" s="24">
        <v>0.0</v>
      </c>
      <c r="K695" s="22" t="s">
        <v>116</v>
      </c>
      <c r="L695" s="29">
        <v>25.0</v>
      </c>
      <c r="M695" s="22" t="s">
        <v>763</v>
      </c>
    </row>
    <row r="696" ht="15.75" customHeight="1">
      <c r="A696" s="22" t="s">
        <v>782</v>
      </c>
      <c r="B696" s="23">
        <v>46215.0</v>
      </c>
      <c r="C696" s="22" t="s">
        <v>38</v>
      </c>
      <c r="D696" s="22" t="s">
        <v>49</v>
      </c>
      <c r="E696" s="29">
        <v>426.0</v>
      </c>
      <c r="F696" s="24">
        <v>235.0</v>
      </c>
      <c r="G696" s="24">
        <v>235.0</v>
      </c>
      <c r="H696" s="24">
        <v>100110.0</v>
      </c>
      <c r="I696" s="24">
        <v>3219.16</v>
      </c>
      <c r="J696" s="24">
        <v>687.17</v>
      </c>
      <c r="K696" s="22" t="s">
        <v>112</v>
      </c>
      <c r="L696" s="29">
        <v>14.0</v>
      </c>
      <c r="M696" s="22" t="s">
        <v>763</v>
      </c>
    </row>
    <row r="697" ht="15.75" customHeight="1">
      <c r="A697" s="22" t="s">
        <v>783</v>
      </c>
      <c r="B697" s="23">
        <v>46215.0</v>
      </c>
      <c r="C697" s="22" t="s">
        <v>38</v>
      </c>
      <c r="D697" s="22" t="s">
        <v>108</v>
      </c>
      <c r="E697" s="29">
        <v>580.0</v>
      </c>
      <c r="F697" s="24">
        <v>1290.0</v>
      </c>
      <c r="G697" s="24">
        <v>1290.0</v>
      </c>
      <c r="H697" s="24">
        <v>748200.0</v>
      </c>
      <c r="I697" s="24">
        <v>28813.11</v>
      </c>
      <c r="J697" s="24">
        <v>5405.94</v>
      </c>
      <c r="K697" s="22" t="s">
        <v>109</v>
      </c>
      <c r="L697" s="29">
        <v>4.0</v>
      </c>
      <c r="M697" s="22" t="s">
        <v>763</v>
      </c>
    </row>
    <row r="698" ht="15.75" customHeight="1">
      <c r="A698" s="22" t="s">
        <v>784</v>
      </c>
      <c r="B698" s="23">
        <v>46215.0</v>
      </c>
      <c r="C698" s="22" t="s">
        <v>48</v>
      </c>
      <c r="D698" s="22" t="s">
        <v>49</v>
      </c>
      <c r="E698" s="29">
        <v>465.0</v>
      </c>
      <c r="F698" s="24">
        <v>240.0</v>
      </c>
      <c r="G698" s="24">
        <v>240.0</v>
      </c>
      <c r="H698" s="24">
        <v>111600.0</v>
      </c>
      <c r="I698" s="24">
        <v>2317.05</v>
      </c>
      <c r="J698" s="24">
        <v>1939.32</v>
      </c>
      <c r="K698" s="22" t="s">
        <v>133</v>
      </c>
      <c r="L698" s="29">
        <v>14.0</v>
      </c>
      <c r="M698" s="22" t="s">
        <v>763</v>
      </c>
    </row>
    <row r="699" ht="15.75" customHeight="1">
      <c r="A699" s="22" t="s">
        <v>785</v>
      </c>
      <c r="B699" s="23">
        <v>46215.0</v>
      </c>
      <c r="C699" s="22" t="s">
        <v>48</v>
      </c>
      <c r="D699" s="22" t="s">
        <v>108</v>
      </c>
      <c r="E699" s="29">
        <v>538.0</v>
      </c>
      <c r="F699" s="24">
        <v>1300.0</v>
      </c>
      <c r="G699" s="24">
        <v>1300.0</v>
      </c>
      <c r="H699" s="24">
        <v>699400.0</v>
      </c>
      <c r="I699" s="24">
        <v>37693.77</v>
      </c>
      <c r="J699" s="24">
        <v>6114.92</v>
      </c>
      <c r="K699" s="22" t="s">
        <v>112</v>
      </c>
      <c r="L699" s="29">
        <v>5.0</v>
      </c>
      <c r="M699" s="22" t="s">
        <v>763</v>
      </c>
    </row>
    <row r="700" ht="15.75" customHeight="1">
      <c r="A700" s="22" t="s">
        <v>786</v>
      </c>
      <c r="B700" s="23">
        <v>46216.0</v>
      </c>
      <c r="C700" s="22" t="s">
        <v>38</v>
      </c>
      <c r="D700" s="22" t="s">
        <v>10</v>
      </c>
      <c r="E700" s="29">
        <v>169.0</v>
      </c>
      <c r="F700" s="24">
        <v>845.0</v>
      </c>
      <c r="G700" s="24">
        <v>845.0</v>
      </c>
      <c r="H700" s="24">
        <v>142805.0</v>
      </c>
      <c r="I700" s="24">
        <v>6772.77</v>
      </c>
      <c r="J700" s="24">
        <v>2216.41</v>
      </c>
      <c r="K700" s="22" t="s">
        <v>133</v>
      </c>
      <c r="L700" s="29">
        <v>5.0</v>
      </c>
      <c r="M700" s="22" t="s">
        <v>763</v>
      </c>
    </row>
    <row r="701" ht="15.75" customHeight="1">
      <c r="A701" s="22" t="s">
        <v>787</v>
      </c>
      <c r="B701" s="23">
        <v>46216.0</v>
      </c>
      <c r="C701" s="22" t="s">
        <v>38</v>
      </c>
      <c r="D701" s="22" t="s">
        <v>49</v>
      </c>
      <c r="E701" s="29">
        <v>272.0</v>
      </c>
      <c r="F701" s="24">
        <v>235.0</v>
      </c>
      <c r="G701" s="24">
        <v>235.0</v>
      </c>
      <c r="H701" s="24">
        <v>63920.0</v>
      </c>
      <c r="I701" s="24">
        <v>3479.53</v>
      </c>
      <c r="J701" s="24">
        <v>0.0</v>
      </c>
      <c r="K701" s="22" t="s">
        <v>116</v>
      </c>
      <c r="L701" s="29">
        <v>4.0</v>
      </c>
      <c r="M701" s="22" t="s">
        <v>763</v>
      </c>
    </row>
    <row r="702" ht="15.75" customHeight="1">
      <c r="A702" s="22" t="s">
        <v>788</v>
      </c>
      <c r="B702" s="23">
        <v>46217.0</v>
      </c>
      <c r="C702" s="22" t="s">
        <v>48</v>
      </c>
      <c r="D702" s="22" t="s">
        <v>49</v>
      </c>
      <c r="E702" s="29">
        <v>527.0</v>
      </c>
      <c r="F702" s="24">
        <v>240.0</v>
      </c>
      <c r="G702" s="24">
        <v>240.0</v>
      </c>
      <c r="H702" s="24">
        <v>126480.0</v>
      </c>
      <c r="I702" s="24">
        <v>7303.71</v>
      </c>
      <c r="J702" s="24">
        <v>2047.18</v>
      </c>
      <c r="K702" s="22" t="s">
        <v>112</v>
      </c>
      <c r="L702" s="29">
        <v>12.0</v>
      </c>
      <c r="M702" s="22" t="s">
        <v>763</v>
      </c>
    </row>
    <row r="703" ht="15.75" customHeight="1">
      <c r="A703" s="22" t="s">
        <v>789</v>
      </c>
      <c r="B703" s="23">
        <v>46217.0</v>
      </c>
      <c r="C703" s="22" t="s">
        <v>56</v>
      </c>
      <c r="D703" s="22" t="s">
        <v>49</v>
      </c>
      <c r="E703" s="29">
        <v>621.0</v>
      </c>
      <c r="F703" s="24">
        <v>230.0</v>
      </c>
      <c r="G703" s="24">
        <v>230.0</v>
      </c>
      <c r="H703" s="24">
        <v>142830.0</v>
      </c>
      <c r="I703" s="24">
        <v>2024.09</v>
      </c>
      <c r="J703" s="24">
        <v>0.0</v>
      </c>
      <c r="K703" s="22" t="s">
        <v>116</v>
      </c>
      <c r="L703" s="29">
        <v>28.0</v>
      </c>
      <c r="M703" s="22" t="s">
        <v>763</v>
      </c>
    </row>
    <row r="704" ht="15.75" customHeight="1">
      <c r="A704" s="22" t="s">
        <v>790</v>
      </c>
      <c r="B704" s="23">
        <v>46218.0</v>
      </c>
      <c r="C704" s="22" t="s">
        <v>48</v>
      </c>
      <c r="D704" s="22" t="s">
        <v>10</v>
      </c>
      <c r="E704" s="29">
        <v>885.0</v>
      </c>
      <c r="F704" s="24">
        <v>850.0</v>
      </c>
      <c r="G704" s="24">
        <v>850.0</v>
      </c>
      <c r="H704" s="24">
        <v>752250.0</v>
      </c>
      <c r="I704" s="24">
        <v>51339.27</v>
      </c>
      <c r="J704" s="24">
        <v>11963.16</v>
      </c>
      <c r="K704" s="22" t="s">
        <v>133</v>
      </c>
      <c r="L704" s="29">
        <v>15.0</v>
      </c>
      <c r="M704" s="22" t="s">
        <v>763</v>
      </c>
    </row>
    <row r="705" ht="15.75" customHeight="1">
      <c r="A705" s="22" t="s">
        <v>791</v>
      </c>
      <c r="B705" s="23">
        <v>46219.0</v>
      </c>
      <c r="C705" s="22" t="s">
        <v>48</v>
      </c>
      <c r="D705" s="22" t="s">
        <v>108</v>
      </c>
      <c r="E705" s="29">
        <v>417.0</v>
      </c>
      <c r="F705" s="24">
        <v>1300.0</v>
      </c>
      <c r="G705" s="24">
        <v>1300.0</v>
      </c>
      <c r="H705" s="24">
        <v>542100.0</v>
      </c>
      <c r="I705" s="24">
        <v>41932.0</v>
      </c>
      <c r="J705" s="24">
        <v>5414.36</v>
      </c>
      <c r="K705" s="22" t="s">
        <v>112</v>
      </c>
      <c r="L705" s="29">
        <v>5.0</v>
      </c>
      <c r="M705" s="22" t="s">
        <v>763</v>
      </c>
    </row>
    <row r="706" ht="15.75" customHeight="1">
      <c r="A706" s="22" t="s">
        <v>792</v>
      </c>
      <c r="B706" s="23">
        <v>46219.0</v>
      </c>
      <c r="C706" s="22" t="s">
        <v>48</v>
      </c>
      <c r="D706" s="22" t="s">
        <v>10</v>
      </c>
      <c r="E706" s="29">
        <v>275.0</v>
      </c>
      <c r="F706" s="24">
        <v>850.0</v>
      </c>
      <c r="G706" s="24">
        <v>850.0</v>
      </c>
      <c r="H706" s="24">
        <v>233750.0</v>
      </c>
      <c r="I706" s="24">
        <v>8181.56</v>
      </c>
      <c r="J706" s="24">
        <v>3607.72</v>
      </c>
      <c r="K706" s="22" t="s">
        <v>112</v>
      </c>
      <c r="L706" s="29">
        <v>2.0</v>
      </c>
      <c r="M706" s="22" t="s">
        <v>763</v>
      </c>
    </row>
    <row r="707" ht="15.75" customHeight="1">
      <c r="A707" s="22" t="s">
        <v>793</v>
      </c>
      <c r="B707" s="23">
        <v>46219.0</v>
      </c>
      <c r="C707" s="22" t="s">
        <v>48</v>
      </c>
      <c r="D707" s="22" t="s">
        <v>10</v>
      </c>
      <c r="E707" s="29">
        <v>436.0</v>
      </c>
      <c r="F707" s="24">
        <v>850.0</v>
      </c>
      <c r="G707" s="24">
        <v>850.0</v>
      </c>
      <c r="H707" s="24">
        <v>370600.0</v>
      </c>
      <c r="I707" s="24">
        <v>20390.21</v>
      </c>
      <c r="J707" s="24">
        <v>2910.48</v>
      </c>
      <c r="K707" s="22" t="s">
        <v>109</v>
      </c>
      <c r="L707" s="29">
        <v>6.0</v>
      </c>
      <c r="M707" s="22" t="s">
        <v>763</v>
      </c>
    </row>
    <row r="708" ht="15.75" customHeight="1">
      <c r="A708" s="22" t="s">
        <v>794</v>
      </c>
      <c r="B708" s="23">
        <v>46219.0</v>
      </c>
      <c r="C708" s="22" t="s">
        <v>38</v>
      </c>
      <c r="D708" s="22" t="s">
        <v>10</v>
      </c>
      <c r="E708" s="29">
        <v>1617.0</v>
      </c>
      <c r="F708" s="24">
        <v>845.0</v>
      </c>
      <c r="G708" s="24">
        <v>845.0</v>
      </c>
      <c r="H708" s="24">
        <v>1366365.0</v>
      </c>
      <c r="I708" s="24">
        <v>44325.94</v>
      </c>
      <c r="J708" s="24">
        <v>0.0</v>
      </c>
      <c r="K708" s="22" t="s">
        <v>116</v>
      </c>
      <c r="L708" s="29">
        <v>28.0</v>
      </c>
      <c r="M708" s="22" t="s">
        <v>763</v>
      </c>
    </row>
    <row r="709" ht="15.75" customHeight="1">
      <c r="A709" s="22" t="s">
        <v>795</v>
      </c>
      <c r="B709" s="23">
        <v>46220.0</v>
      </c>
      <c r="C709" s="22" t="s">
        <v>48</v>
      </c>
      <c r="D709" s="22" t="s">
        <v>10</v>
      </c>
      <c r="E709" s="29">
        <v>436.0</v>
      </c>
      <c r="F709" s="24">
        <v>850.0</v>
      </c>
      <c r="G709" s="24">
        <v>850.0</v>
      </c>
      <c r="H709" s="24">
        <v>370600.0</v>
      </c>
      <c r="I709" s="24">
        <v>14465.46</v>
      </c>
      <c r="J709" s="24">
        <v>2624.38</v>
      </c>
      <c r="K709" s="22" t="s">
        <v>112</v>
      </c>
      <c r="L709" s="29">
        <v>12.0</v>
      </c>
      <c r="M709" s="22" t="s">
        <v>763</v>
      </c>
    </row>
    <row r="710" ht="15.75" customHeight="1">
      <c r="A710" s="22" t="s">
        <v>796</v>
      </c>
      <c r="B710" s="23">
        <v>46220.0</v>
      </c>
      <c r="C710" s="22" t="s">
        <v>48</v>
      </c>
      <c r="D710" s="22" t="s">
        <v>10</v>
      </c>
      <c r="E710" s="29">
        <v>458.0</v>
      </c>
      <c r="F710" s="24">
        <v>850.0</v>
      </c>
      <c r="G710" s="24">
        <v>850.0</v>
      </c>
      <c r="H710" s="24">
        <v>389300.0</v>
      </c>
      <c r="I710" s="24">
        <v>26919.76</v>
      </c>
      <c r="J710" s="24">
        <v>3642.82</v>
      </c>
      <c r="K710" s="22" t="s">
        <v>109</v>
      </c>
      <c r="L710" s="29">
        <v>7.0</v>
      </c>
      <c r="M710" s="22" t="s">
        <v>763</v>
      </c>
    </row>
    <row r="711" ht="15.75" customHeight="1">
      <c r="A711" s="22" t="s">
        <v>797</v>
      </c>
      <c r="B711" s="23">
        <v>46221.0</v>
      </c>
      <c r="C711" s="22" t="s">
        <v>48</v>
      </c>
      <c r="D711" s="22" t="s">
        <v>49</v>
      </c>
      <c r="E711" s="29">
        <v>186.0</v>
      </c>
      <c r="F711" s="24">
        <v>240.0</v>
      </c>
      <c r="G711" s="24">
        <v>240.0</v>
      </c>
      <c r="H711" s="24">
        <v>44640.0</v>
      </c>
      <c r="I711" s="24">
        <v>3365.64</v>
      </c>
      <c r="J711" s="24">
        <v>782.62</v>
      </c>
      <c r="K711" s="22" t="s">
        <v>114</v>
      </c>
      <c r="L711" s="29">
        <v>2.0</v>
      </c>
      <c r="M711" s="22" t="s">
        <v>763</v>
      </c>
    </row>
    <row r="712" ht="15.75" customHeight="1">
      <c r="A712" s="22" t="s">
        <v>798</v>
      </c>
      <c r="B712" s="23">
        <v>46221.0</v>
      </c>
      <c r="C712" s="22" t="s">
        <v>38</v>
      </c>
      <c r="D712" s="22" t="s">
        <v>49</v>
      </c>
      <c r="E712" s="29">
        <v>343.0</v>
      </c>
      <c r="F712" s="24">
        <v>235.0</v>
      </c>
      <c r="G712" s="24">
        <v>235.0</v>
      </c>
      <c r="H712" s="24">
        <v>80605.0</v>
      </c>
      <c r="I712" s="24">
        <v>2488.86</v>
      </c>
      <c r="J712" s="24">
        <v>1225.01</v>
      </c>
      <c r="K712" s="22" t="s">
        <v>133</v>
      </c>
      <c r="L712" s="29">
        <v>10.0</v>
      </c>
      <c r="M712" s="22" t="s">
        <v>763</v>
      </c>
    </row>
    <row r="713" ht="15.75" customHeight="1">
      <c r="A713" s="22" t="s">
        <v>799</v>
      </c>
      <c r="B713" s="23">
        <v>46221.0</v>
      </c>
      <c r="C713" s="22" t="s">
        <v>56</v>
      </c>
      <c r="D713" s="22" t="s">
        <v>49</v>
      </c>
      <c r="E713" s="29">
        <v>305.0</v>
      </c>
      <c r="F713" s="24">
        <v>230.0</v>
      </c>
      <c r="G713" s="24">
        <v>230.0</v>
      </c>
      <c r="H713" s="24">
        <v>70150.0</v>
      </c>
      <c r="I713" s="24">
        <v>1859.6</v>
      </c>
      <c r="J713" s="24">
        <v>0.0</v>
      </c>
      <c r="K713" s="22" t="s">
        <v>116</v>
      </c>
      <c r="L713" s="29">
        <v>10.0</v>
      </c>
      <c r="M713" s="22" t="s">
        <v>763</v>
      </c>
    </row>
    <row r="714" ht="15.75" customHeight="1">
      <c r="A714" s="22" t="s">
        <v>800</v>
      </c>
      <c r="B714" s="23">
        <v>46221.0</v>
      </c>
      <c r="C714" s="22" t="s">
        <v>48</v>
      </c>
      <c r="D714" s="22" t="s">
        <v>49</v>
      </c>
      <c r="E714" s="29">
        <v>413.0</v>
      </c>
      <c r="F714" s="24">
        <v>240.0</v>
      </c>
      <c r="G714" s="24">
        <v>240.0</v>
      </c>
      <c r="H714" s="24">
        <v>99120.0</v>
      </c>
      <c r="I714" s="24">
        <v>3272.45</v>
      </c>
      <c r="J714" s="24">
        <v>0.0</v>
      </c>
      <c r="K714" s="22" t="s">
        <v>116</v>
      </c>
      <c r="L714" s="29">
        <v>16.0</v>
      </c>
      <c r="M714" s="22" t="s">
        <v>763</v>
      </c>
    </row>
    <row r="715" ht="15.75" customHeight="1">
      <c r="A715" s="22" t="s">
        <v>801</v>
      </c>
      <c r="B715" s="23">
        <v>46221.0</v>
      </c>
      <c r="C715" s="22" t="s">
        <v>48</v>
      </c>
      <c r="D715" s="22" t="s">
        <v>10</v>
      </c>
      <c r="E715" s="29">
        <v>226.0</v>
      </c>
      <c r="F715" s="24">
        <v>850.0</v>
      </c>
      <c r="G715" s="24">
        <v>850.0</v>
      </c>
      <c r="H715" s="24">
        <v>192100.0</v>
      </c>
      <c r="I715" s="24">
        <v>5961.82</v>
      </c>
      <c r="J715" s="24">
        <v>0.0</v>
      </c>
      <c r="K715" s="22" t="s">
        <v>116</v>
      </c>
      <c r="L715" s="29">
        <v>3.0</v>
      </c>
      <c r="M715" s="22" t="s">
        <v>763</v>
      </c>
    </row>
    <row r="716" ht="15.75" customHeight="1">
      <c r="A716" s="22" t="s">
        <v>802</v>
      </c>
      <c r="B716" s="23">
        <v>46222.0</v>
      </c>
      <c r="C716" s="22" t="s">
        <v>48</v>
      </c>
      <c r="D716" s="22" t="s">
        <v>10</v>
      </c>
      <c r="E716" s="29">
        <v>485.0</v>
      </c>
      <c r="F716" s="24">
        <v>850.0</v>
      </c>
      <c r="G716" s="24">
        <v>850.0</v>
      </c>
      <c r="H716" s="24">
        <v>412250.0</v>
      </c>
      <c r="I716" s="24">
        <v>29455.24</v>
      </c>
      <c r="J716" s="24">
        <v>5494.04</v>
      </c>
      <c r="K716" s="22" t="s">
        <v>133</v>
      </c>
      <c r="L716" s="29">
        <v>8.0</v>
      </c>
      <c r="M716" s="22" t="s">
        <v>763</v>
      </c>
    </row>
    <row r="717" ht="15.75" customHeight="1">
      <c r="A717" s="22" t="s">
        <v>803</v>
      </c>
      <c r="B717" s="23">
        <v>46222.0</v>
      </c>
      <c r="C717" s="22" t="s">
        <v>48</v>
      </c>
      <c r="D717" s="22" t="s">
        <v>49</v>
      </c>
      <c r="E717" s="29">
        <v>368.0</v>
      </c>
      <c r="F717" s="24">
        <v>240.0</v>
      </c>
      <c r="G717" s="24">
        <v>240.0</v>
      </c>
      <c r="H717" s="24">
        <v>88320.0</v>
      </c>
      <c r="I717" s="24">
        <v>3142.56</v>
      </c>
      <c r="J717" s="24">
        <v>0.0</v>
      </c>
      <c r="K717" s="22" t="s">
        <v>116</v>
      </c>
      <c r="L717" s="29">
        <v>8.0</v>
      </c>
      <c r="M717" s="22" t="s">
        <v>763</v>
      </c>
    </row>
    <row r="718" ht="15.75" customHeight="1">
      <c r="A718" s="22" t="s">
        <v>804</v>
      </c>
      <c r="B718" s="23">
        <v>46223.0</v>
      </c>
      <c r="C718" s="22" t="s">
        <v>48</v>
      </c>
      <c r="D718" s="22" t="s">
        <v>49</v>
      </c>
      <c r="E718" s="29">
        <v>138.0</v>
      </c>
      <c r="F718" s="24">
        <v>240.0</v>
      </c>
      <c r="G718" s="24">
        <v>240.0</v>
      </c>
      <c r="H718" s="24">
        <v>33120.0</v>
      </c>
      <c r="I718" s="24">
        <v>1656.83</v>
      </c>
      <c r="J718" s="24">
        <v>0.0</v>
      </c>
      <c r="K718" s="22" t="s">
        <v>116</v>
      </c>
      <c r="L718" s="29">
        <v>7.0</v>
      </c>
      <c r="M718" s="22" t="s">
        <v>763</v>
      </c>
    </row>
    <row r="719" ht="15.75" customHeight="1">
      <c r="A719" s="22" t="s">
        <v>805</v>
      </c>
      <c r="B719" s="23">
        <v>46223.0</v>
      </c>
      <c r="C719" s="22" t="s">
        <v>38</v>
      </c>
      <c r="D719" s="22" t="s">
        <v>49</v>
      </c>
      <c r="E719" s="29">
        <v>174.0</v>
      </c>
      <c r="F719" s="24">
        <v>235.0</v>
      </c>
      <c r="G719" s="24">
        <v>235.0</v>
      </c>
      <c r="H719" s="24">
        <v>40890.0</v>
      </c>
      <c r="I719" s="24">
        <v>1454.33</v>
      </c>
      <c r="J719" s="24">
        <v>108.34</v>
      </c>
      <c r="K719" s="22" t="s">
        <v>133</v>
      </c>
      <c r="L719" s="29">
        <v>5.0</v>
      </c>
      <c r="M719" s="22" t="s">
        <v>763</v>
      </c>
    </row>
    <row r="720" ht="15.75" customHeight="1">
      <c r="A720" s="22" t="s">
        <v>806</v>
      </c>
      <c r="B720" s="23">
        <v>46223.0</v>
      </c>
      <c r="C720" s="22" t="s">
        <v>48</v>
      </c>
      <c r="D720" s="22" t="s">
        <v>10</v>
      </c>
      <c r="E720" s="29">
        <v>189.0</v>
      </c>
      <c r="F720" s="24">
        <v>850.0</v>
      </c>
      <c r="G720" s="24">
        <v>850.0</v>
      </c>
      <c r="H720" s="24">
        <v>160650.0</v>
      </c>
      <c r="I720" s="24">
        <v>6541.87</v>
      </c>
      <c r="J720" s="24">
        <v>0.0</v>
      </c>
      <c r="K720" s="22" t="s">
        <v>116</v>
      </c>
      <c r="L720" s="29">
        <v>4.0</v>
      </c>
      <c r="M720" s="22" t="s">
        <v>763</v>
      </c>
    </row>
    <row r="721" ht="15.75" customHeight="1">
      <c r="A721" s="22" t="s">
        <v>807</v>
      </c>
      <c r="B721" s="23">
        <v>46223.0</v>
      </c>
      <c r="C721" s="22" t="s">
        <v>56</v>
      </c>
      <c r="D721" s="22" t="s">
        <v>49</v>
      </c>
      <c r="E721" s="29">
        <v>114.0</v>
      </c>
      <c r="F721" s="24">
        <v>230.0</v>
      </c>
      <c r="G721" s="24">
        <v>230.0</v>
      </c>
      <c r="H721" s="24">
        <v>26220.0</v>
      </c>
      <c r="I721" s="24">
        <v>511.46</v>
      </c>
      <c r="J721" s="24">
        <v>309.15</v>
      </c>
      <c r="K721" s="22" t="s">
        <v>133</v>
      </c>
      <c r="L721" s="29">
        <v>3.0</v>
      </c>
      <c r="M721" s="22" t="s">
        <v>763</v>
      </c>
    </row>
    <row r="722" ht="15.75" customHeight="1">
      <c r="A722" s="22" t="s">
        <v>808</v>
      </c>
      <c r="B722" s="23">
        <v>46224.0</v>
      </c>
      <c r="C722" s="22" t="s">
        <v>38</v>
      </c>
      <c r="D722" s="22" t="s">
        <v>108</v>
      </c>
      <c r="E722" s="29">
        <v>84.0</v>
      </c>
      <c r="F722" s="24">
        <v>1290.0</v>
      </c>
      <c r="G722" s="24">
        <v>1290.0</v>
      </c>
      <c r="H722" s="24">
        <v>108360.0</v>
      </c>
      <c r="I722" s="24">
        <v>4307.87</v>
      </c>
      <c r="J722" s="24">
        <v>0.0</v>
      </c>
      <c r="K722" s="22" t="s">
        <v>116</v>
      </c>
      <c r="L722" s="29">
        <v>1.0</v>
      </c>
      <c r="M722" s="22" t="s">
        <v>763</v>
      </c>
    </row>
    <row r="723" ht="15.75" customHeight="1">
      <c r="A723" s="22" t="s">
        <v>809</v>
      </c>
      <c r="B723" s="23">
        <v>46224.0</v>
      </c>
      <c r="C723" s="22" t="s">
        <v>48</v>
      </c>
      <c r="D723" s="22" t="s">
        <v>49</v>
      </c>
      <c r="E723" s="29">
        <v>265.0</v>
      </c>
      <c r="F723" s="24">
        <v>240.0</v>
      </c>
      <c r="G723" s="24">
        <v>240.0</v>
      </c>
      <c r="H723" s="24">
        <v>63600.0</v>
      </c>
      <c r="I723" s="24">
        <v>1572.86</v>
      </c>
      <c r="J723" s="24">
        <v>841.48</v>
      </c>
      <c r="K723" s="22" t="s">
        <v>133</v>
      </c>
      <c r="L723" s="29">
        <v>6.0</v>
      </c>
      <c r="M723" s="22" t="s">
        <v>763</v>
      </c>
    </row>
    <row r="724" ht="15.75" customHeight="1">
      <c r="A724" s="22" t="s">
        <v>810</v>
      </c>
      <c r="B724" s="23">
        <v>46225.0</v>
      </c>
      <c r="C724" s="22" t="s">
        <v>38</v>
      </c>
      <c r="D724" s="22" t="s">
        <v>49</v>
      </c>
      <c r="E724" s="29">
        <v>506.0</v>
      </c>
      <c r="F724" s="24">
        <v>235.0</v>
      </c>
      <c r="G724" s="24">
        <v>235.0</v>
      </c>
      <c r="H724" s="24">
        <v>118910.0</v>
      </c>
      <c r="I724" s="24">
        <v>10454.87</v>
      </c>
      <c r="J724" s="24">
        <v>208.15</v>
      </c>
      <c r="K724" s="22" t="s">
        <v>109</v>
      </c>
      <c r="L724" s="29">
        <v>18.0</v>
      </c>
      <c r="M724" s="22" t="s">
        <v>763</v>
      </c>
    </row>
    <row r="725" ht="15.75" customHeight="1">
      <c r="A725" s="22" t="s">
        <v>811</v>
      </c>
      <c r="B725" s="23">
        <v>46225.0</v>
      </c>
      <c r="C725" s="22" t="s">
        <v>48</v>
      </c>
      <c r="D725" s="22" t="s">
        <v>108</v>
      </c>
      <c r="E725" s="29">
        <v>1049.0</v>
      </c>
      <c r="F725" s="24">
        <v>1300.0</v>
      </c>
      <c r="G725" s="24">
        <v>1300.0</v>
      </c>
      <c r="H725" s="24">
        <v>1363700.0</v>
      </c>
      <c r="I725" s="24">
        <v>51720.02</v>
      </c>
      <c r="J725" s="24">
        <v>5675.82</v>
      </c>
      <c r="K725" s="22" t="s">
        <v>133</v>
      </c>
      <c r="L725" s="29">
        <v>12.0</v>
      </c>
      <c r="M725" s="22" t="s">
        <v>763</v>
      </c>
    </row>
    <row r="726" ht="15.75" customHeight="1">
      <c r="A726" s="22" t="s">
        <v>812</v>
      </c>
      <c r="B726" s="23">
        <v>46225.0</v>
      </c>
      <c r="C726" s="22" t="s">
        <v>38</v>
      </c>
      <c r="D726" s="22" t="s">
        <v>10</v>
      </c>
      <c r="E726" s="29">
        <v>615.0</v>
      </c>
      <c r="F726" s="24">
        <v>845.0</v>
      </c>
      <c r="G726" s="24">
        <v>845.0</v>
      </c>
      <c r="H726" s="24">
        <v>519675.0</v>
      </c>
      <c r="I726" s="24">
        <v>50767.44</v>
      </c>
      <c r="J726" s="24">
        <v>0.0</v>
      </c>
      <c r="K726" s="22" t="s">
        <v>116</v>
      </c>
      <c r="L726" s="29">
        <v>15.0</v>
      </c>
      <c r="M726" s="22" t="s">
        <v>763</v>
      </c>
    </row>
    <row r="727" ht="15.75" customHeight="1">
      <c r="A727" s="22" t="s">
        <v>813</v>
      </c>
      <c r="B727" s="23">
        <v>46225.0</v>
      </c>
      <c r="C727" s="22" t="s">
        <v>48</v>
      </c>
      <c r="D727" s="22" t="s">
        <v>49</v>
      </c>
      <c r="E727" s="29">
        <v>852.0</v>
      </c>
      <c r="F727" s="24">
        <v>240.0</v>
      </c>
      <c r="G727" s="24">
        <v>240.0</v>
      </c>
      <c r="H727" s="24">
        <v>204480.0</v>
      </c>
      <c r="I727" s="24">
        <v>8070.64</v>
      </c>
      <c r="J727" s="24">
        <v>884.05</v>
      </c>
      <c r="K727" s="22" t="s">
        <v>114</v>
      </c>
      <c r="L727" s="29">
        <v>25.0</v>
      </c>
      <c r="M727" s="22" t="s">
        <v>763</v>
      </c>
    </row>
    <row r="728" ht="15.75" customHeight="1">
      <c r="A728" s="22" t="s">
        <v>814</v>
      </c>
      <c r="B728" s="23">
        <v>46225.0</v>
      </c>
      <c r="C728" s="22" t="s">
        <v>48</v>
      </c>
      <c r="D728" s="22" t="s">
        <v>49</v>
      </c>
      <c r="E728" s="29">
        <v>378.0</v>
      </c>
      <c r="F728" s="24">
        <v>240.0</v>
      </c>
      <c r="G728" s="24">
        <v>240.0</v>
      </c>
      <c r="H728" s="24">
        <v>90720.0</v>
      </c>
      <c r="I728" s="24">
        <v>1904.3</v>
      </c>
      <c r="J728" s="24">
        <v>571.28</v>
      </c>
      <c r="K728" s="22" t="s">
        <v>133</v>
      </c>
      <c r="L728" s="29">
        <v>11.0</v>
      </c>
      <c r="M728" s="22" t="s">
        <v>763</v>
      </c>
    </row>
    <row r="729" ht="15.75" customHeight="1">
      <c r="A729" s="22" t="s">
        <v>815</v>
      </c>
      <c r="B729" s="23">
        <v>46226.0</v>
      </c>
      <c r="C729" s="22" t="s">
        <v>38</v>
      </c>
      <c r="D729" s="22" t="s">
        <v>49</v>
      </c>
      <c r="E729" s="29">
        <v>84.0</v>
      </c>
      <c r="F729" s="24">
        <v>235.0</v>
      </c>
      <c r="G729" s="24">
        <v>235.0</v>
      </c>
      <c r="H729" s="24">
        <v>19740.0</v>
      </c>
      <c r="I729" s="24">
        <v>639.79</v>
      </c>
      <c r="J729" s="24">
        <v>0.0</v>
      </c>
      <c r="K729" s="22" t="s">
        <v>116</v>
      </c>
      <c r="L729" s="29">
        <v>0.0</v>
      </c>
      <c r="M729" s="22" t="s">
        <v>763</v>
      </c>
    </row>
    <row r="730" ht="15.75" customHeight="1">
      <c r="A730" s="22" t="s">
        <v>816</v>
      </c>
      <c r="B730" s="23">
        <v>46226.0</v>
      </c>
      <c r="C730" s="22" t="s">
        <v>38</v>
      </c>
      <c r="D730" s="22" t="s">
        <v>49</v>
      </c>
      <c r="E730" s="29">
        <v>943.0</v>
      </c>
      <c r="F730" s="24">
        <v>235.0</v>
      </c>
      <c r="G730" s="24">
        <v>235.0</v>
      </c>
      <c r="H730" s="24">
        <v>221605.0</v>
      </c>
      <c r="I730" s="24">
        <v>12233.48</v>
      </c>
      <c r="J730" s="24">
        <v>0.0</v>
      </c>
      <c r="K730" s="22" t="s">
        <v>116</v>
      </c>
      <c r="L730" s="29">
        <v>19.0</v>
      </c>
      <c r="M730" s="22" t="s">
        <v>763</v>
      </c>
    </row>
    <row r="731" ht="15.75" customHeight="1">
      <c r="A731" s="22" t="s">
        <v>817</v>
      </c>
      <c r="B731" s="23">
        <v>46226.0</v>
      </c>
      <c r="C731" s="22" t="s">
        <v>38</v>
      </c>
      <c r="D731" s="22" t="s">
        <v>10</v>
      </c>
      <c r="E731" s="29">
        <v>585.0</v>
      </c>
      <c r="F731" s="24">
        <v>845.0</v>
      </c>
      <c r="G731" s="24">
        <v>845.0</v>
      </c>
      <c r="H731" s="24">
        <v>494325.0</v>
      </c>
      <c r="I731" s="24">
        <v>36082.6</v>
      </c>
      <c r="J731" s="24">
        <v>3676.21</v>
      </c>
      <c r="K731" s="22" t="s">
        <v>109</v>
      </c>
      <c r="L731" s="29">
        <v>9.0</v>
      </c>
      <c r="M731" s="22" t="s">
        <v>763</v>
      </c>
    </row>
    <row r="732" ht="15.75" customHeight="1">
      <c r="A732" s="22" t="s">
        <v>818</v>
      </c>
      <c r="B732" s="23">
        <v>46227.0</v>
      </c>
      <c r="C732" s="22" t="s">
        <v>38</v>
      </c>
      <c r="D732" s="22" t="s">
        <v>10</v>
      </c>
      <c r="E732" s="29">
        <v>382.0</v>
      </c>
      <c r="F732" s="24">
        <v>845.0</v>
      </c>
      <c r="G732" s="24">
        <v>845.0</v>
      </c>
      <c r="H732" s="24">
        <v>322790.0</v>
      </c>
      <c r="I732" s="24">
        <v>18011.27</v>
      </c>
      <c r="J732" s="24">
        <v>0.0</v>
      </c>
      <c r="K732" s="22" t="s">
        <v>116</v>
      </c>
      <c r="L732" s="29">
        <v>7.0</v>
      </c>
      <c r="M732" s="22" t="s">
        <v>763</v>
      </c>
    </row>
    <row r="733" ht="15.75" customHeight="1">
      <c r="A733" s="22" t="s">
        <v>819</v>
      </c>
      <c r="B733" s="23">
        <v>46227.0</v>
      </c>
      <c r="C733" s="22" t="s">
        <v>48</v>
      </c>
      <c r="D733" s="22" t="s">
        <v>49</v>
      </c>
      <c r="E733" s="29">
        <v>279.0</v>
      </c>
      <c r="F733" s="24">
        <v>240.0</v>
      </c>
      <c r="G733" s="24">
        <v>240.0</v>
      </c>
      <c r="H733" s="24">
        <v>66960.0</v>
      </c>
      <c r="I733" s="24">
        <v>5119.3</v>
      </c>
      <c r="J733" s="24">
        <v>1021.29</v>
      </c>
      <c r="K733" s="22" t="s">
        <v>112</v>
      </c>
      <c r="L733" s="29">
        <v>4.0</v>
      </c>
      <c r="M733" s="22" t="s">
        <v>763</v>
      </c>
    </row>
    <row r="734" ht="15.75" customHeight="1">
      <c r="A734" s="22" t="s">
        <v>820</v>
      </c>
      <c r="B734" s="23">
        <v>46227.0</v>
      </c>
      <c r="C734" s="22" t="s">
        <v>56</v>
      </c>
      <c r="D734" s="22" t="s">
        <v>10</v>
      </c>
      <c r="E734" s="29">
        <v>244.0</v>
      </c>
      <c r="F734" s="24">
        <v>820.0</v>
      </c>
      <c r="G734" s="24">
        <v>820.0</v>
      </c>
      <c r="H734" s="24">
        <v>200080.0</v>
      </c>
      <c r="I734" s="24">
        <v>3218.39</v>
      </c>
      <c r="J734" s="24">
        <v>256.9</v>
      </c>
      <c r="K734" s="22" t="s">
        <v>109</v>
      </c>
      <c r="L734" s="29">
        <v>7.0</v>
      </c>
      <c r="M734" s="22" t="s">
        <v>763</v>
      </c>
    </row>
    <row r="735" ht="15.75" customHeight="1">
      <c r="A735" s="22" t="s">
        <v>821</v>
      </c>
      <c r="B735" s="23">
        <v>46227.0</v>
      </c>
      <c r="C735" s="22" t="s">
        <v>48</v>
      </c>
      <c r="D735" s="22" t="s">
        <v>49</v>
      </c>
      <c r="E735" s="29">
        <v>688.0</v>
      </c>
      <c r="F735" s="24">
        <v>240.0</v>
      </c>
      <c r="G735" s="24">
        <v>240.0</v>
      </c>
      <c r="H735" s="24">
        <v>165120.0</v>
      </c>
      <c r="I735" s="24">
        <v>4592.08</v>
      </c>
      <c r="J735" s="24">
        <v>0.0</v>
      </c>
      <c r="K735" s="22" t="s">
        <v>116</v>
      </c>
      <c r="L735" s="29">
        <v>15.0</v>
      </c>
      <c r="M735" s="22" t="s">
        <v>763</v>
      </c>
    </row>
    <row r="736" ht="15.75" customHeight="1">
      <c r="A736" s="22" t="s">
        <v>822</v>
      </c>
      <c r="B736" s="23">
        <v>46227.0</v>
      </c>
      <c r="C736" s="22" t="s">
        <v>56</v>
      </c>
      <c r="D736" s="22" t="s">
        <v>49</v>
      </c>
      <c r="E736" s="29">
        <v>314.0</v>
      </c>
      <c r="F736" s="24">
        <v>230.0</v>
      </c>
      <c r="G736" s="24">
        <v>230.0</v>
      </c>
      <c r="H736" s="24">
        <v>72220.0</v>
      </c>
      <c r="I736" s="24">
        <v>1386.55</v>
      </c>
      <c r="J736" s="24">
        <v>643.95</v>
      </c>
      <c r="K736" s="22" t="s">
        <v>109</v>
      </c>
      <c r="L736" s="29">
        <v>16.0</v>
      </c>
      <c r="M736" s="22" t="s">
        <v>763</v>
      </c>
    </row>
    <row r="737" ht="15.75" customHeight="1">
      <c r="A737" s="22" t="s">
        <v>823</v>
      </c>
      <c r="B737" s="23">
        <v>46228.0</v>
      </c>
      <c r="C737" s="22" t="s">
        <v>56</v>
      </c>
      <c r="D737" s="22" t="s">
        <v>49</v>
      </c>
      <c r="E737" s="29">
        <v>310.0</v>
      </c>
      <c r="F737" s="24">
        <v>230.0</v>
      </c>
      <c r="G737" s="24">
        <v>230.0</v>
      </c>
      <c r="H737" s="24">
        <v>71300.0</v>
      </c>
      <c r="I737" s="24">
        <v>2290.41</v>
      </c>
      <c r="J737" s="24">
        <v>290.01</v>
      </c>
      <c r="K737" s="22" t="s">
        <v>133</v>
      </c>
      <c r="L737" s="29">
        <v>8.0</v>
      </c>
      <c r="M737" s="22" t="s">
        <v>763</v>
      </c>
    </row>
    <row r="738" ht="15.75" customHeight="1">
      <c r="A738" s="22" t="s">
        <v>824</v>
      </c>
      <c r="B738" s="23">
        <v>46228.0</v>
      </c>
      <c r="C738" s="22" t="s">
        <v>38</v>
      </c>
      <c r="D738" s="22" t="s">
        <v>49</v>
      </c>
      <c r="E738" s="29">
        <v>216.0</v>
      </c>
      <c r="F738" s="24">
        <v>235.0</v>
      </c>
      <c r="G738" s="24">
        <v>235.0</v>
      </c>
      <c r="H738" s="24">
        <v>50760.0</v>
      </c>
      <c r="I738" s="24">
        <v>1263.3</v>
      </c>
      <c r="J738" s="24">
        <v>783.05</v>
      </c>
      <c r="K738" s="22" t="s">
        <v>112</v>
      </c>
      <c r="L738" s="29">
        <v>5.0</v>
      </c>
      <c r="M738" s="22" t="s">
        <v>763</v>
      </c>
    </row>
    <row r="739" ht="15.75" customHeight="1">
      <c r="A739" s="22" t="s">
        <v>825</v>
      </c>
      <c r="B739" s="23">
        <v>46228.0</v>
      </c>
      <c r="C739" s="22" t="s">
        <v>38</v>
      </c>
      <c r="D739" s="22" t="s">
        <v>10</v>
      </c>
      <c r="E739" s="29">
        <v>171.0</v>
      </c>
      <c r="F739" s="24">
        <v>845.0</v>
      </c>
      <c r="G739" s="24">
        <v>845.0</v>
      </c>
      <c r="H739" s="24">
        <v>144495.0</v>
      </c>
      <c r="I739" s="24">
        <v>4103.39</v>
      </c>
      <c r="J739" s="24">
        <v>1387.03</v>
      </c>
      <c r="K739" s="22" t="s">
        <v>109</v>
      </c>
      <c r="L739" s="29">
        <v>4.0</v>
      </c>
      <c r="M739" s="22" t="s">
        <v>763</v>
      </c>
    </row>
    <row r="740" ht="15.75" customHeight="1">
      <c r="A740" s="22" t="s">
        <v>826</v>
      </c>
      <c r="B740" s="23">
        <v>46228.0</v>
      </c>
      <c r="C740" s="22" t="s">
        <v>38</v>
      </c>
      <c r="D740" s="22" t="s">
        <v>49</v>
      </c>
      <c r="E740" s="29">
        <v>64.0</v>
      </c>
      <c r="F740" s="24">
        <v>235.0</v>
      </c>
      <c r="G740" s="24">
        <v>235.0</v>
      </c>
      <c r="H740" s="24">
        <v>15040.0</v>
      </c>
      <c r="I740" s="24">
        <v>1016.53</v>
      </c>
      <c r="J740" s="24">
        <v>0.0</v>
      </c>
      <c r="K740" s="22" t="s">
        <v>116</v>
      </c>
      <c r="L740" s="29">
        <v>2.0</v>
      </c>
      <c r="M740" s="22" t="s">
        <v>763</v>
      </c>
    </row>
    <row r="741" ht="15.75" customHeight="1">
      <c r="A741" s="22" t="s">
        <v>827</v>
      </c>
      <c r="B741" s="23">
        <v>46228.0</v>
      </c>
      <c r="C741" s="22" t="s">
        <v>48</v>
      </c>
      <c r="D741" s="22" t="s">
        <v>49</v>
      </c>
      <c r="E741" s="29">
        <v>888.0</v>
      </c>
      <c r="F741" s="24">
        <v>240.0</v>
      </c>
      <c r="G741" s="24">
        <v>240.0</v>
      </c>
      <c r="H741" s="24">
        <v>213120.0</v>
      </c>
      <c r="I741" s="24">
        <v>5752.6</v>
      </c>
      <c r="J741" s="24">
        <v>3682.59</v>
      </c>
      <c r="K741" s="22" t="s">
        <v>114</v>
      </c>
      <c r="L741" s="29">
        <v>27.0</v>
      </c>
      <c r="M741" s="22" t="s">
        <v>763</v>
      </c>
    </row>
    <row r="742" ht="15.75" customHeight="1">
      <c r="A742" s="22" t="s">
        <v>828</v>
      </c>
      <c r="B742" s="23">
        <v>46229.0</v>
      </c>
      <c r="C742" s="22" t="s">
        <v>38</v>
      </c>
      <c r="D742" s="22" t="s">
        <v>49</v>
      </c>
      <c r="E742" s="29">
        <v>325.0</v>
      </c>
      <c r="F742" s="24">
        <v>235.0</v>
      </c>
      <c r="G742" s="24">
        <v>235.0</v>
      </c>
      <c r="H742" s="24">
        <v>76375.0</v>
      </c>
      <c r="I742" s="24">
        <v>2942.89</v>
      </c>
      <c r="J742" s="24">
        <v>0.0</v>
      </c>
      <c r="K742" s="22" t="s">
        <v>116</v>
      </c>
      <c r="L742" s="29">
        <v>11.0</v>
      </c>
      <c r="M742" s="22" t="s">
        <v>763</v>
      </c>
    </row>
    <row r="743" ht="15.75" customHeight="1">
      <c r="A743" s="22" t="s">
        <v>829</v>
      </c>
      <c r="B743" s="23">
        <v>46229.0</v>
      </c>
      <c r="C743" s="22" t="s">
        <v>56</v>
      </c>
      <c r="D743" s="22" t="s">
        <v>49</v>
      </c>
      <c r="E743" s="29">
        <v>330.0</v>
      </c>
      <c r="F743" s="24">
        <v>230.0</v>
      </c>
      <c r="G743" s="24">
        <v>230.0</v>
      </c>
      <c r="H743" s="24">
        <v>75900.0</v>
      </c>
      <c r="I743" s="24">
        <v>1351.92</v>
      </c>
      <c r="J743" s="24">
        <v>872.98</v>
      </c>
      <c r="K743" s="22" t="s">
        <v>133</v>
      </c>
      <c r="L743" s="29">
        <v>11.0</v>
      </c>
      <c r="M743" s="22" t="s">
        <v>763</v>
      </c>
    </row>
    <row r="744" ht="15.75" customHeight="1">
      <c r="A744" s="22" t="s">
        <v>830</v>
      </c>
      <c r="B744" s="23">
        <v>46230.0</v>
      </c>
      <c r="C744" s="22" t="s">
        <v>38</v>
      </c>
      <c r="D744" s="22" t="s">
        <v>49</v>
      </c>
      <c r="E744" s="29">
        <v>241.0</v>
      </c>
      <c r="F744" s="24">
        <v>235.0</v>
      </c>
      <c r="G744" s="24">
        <v>235.0</v>
      </c>
      <c r="H744" s="24">
        <v>56635.0</v>
      </c>
      <c r="I744" s="24">
        <v>2482.06</v>
      </c>
      <c r="J744" s="24">
        <v>0.0</v>
      </c>
      <c r="K744" s="22" t="s">
        <v>116</v>
      </c>
      <c r="L744" s="29">
        <v>7.0</v>
      </c>
      <c r="M744" s="22" t="s">
        <v>763</v>
      </c>
    </row>
    <row r="745" ht="15.75" customHeight="1">
      <c r="A745" s="22" t="s">
        <v>831</v>
      </c>
      <c r="B745" s="23">
        <v>46230.0</v>
      </c>
      <c r="C745" s="22" t="s">
        <v>48</v>
      </c>
      <c r="D745" s="22" t="s">
        <v>49</v>
      </c>
      <c r="E745" s="29">
        <v>345.0</v>
      </c>
      <c r="F745" s="24">
        <v>240.0</v>
      </c>
      <c r="G745" s="24">
        <v>240.0</v>
      </c>
      <c r="H745" s="24">
        <v>82800.0</v>
      </c>
      <c r="I745" s="24">
        <v>2593.35</v>
      </c>
      <c r="J745" s="24">
        <v>814.82</v>
      </c>
      <c r="K745" s="22" t="s">
        <v>114</v>
      </c>
      <c r="L745" s="29">
        <v>7.0</v>
      </c>
      <c r="M745" s="22" t="s">
        <v>763</v>
      </c>
    </row>
    <row r="746" ht="15.75" customHeight="1">
      <c r="A746" s="22" t="s">
        <v>832</v>
      </c>
      <c r="B746" s="23">
        <v>46230.0</v>
      </c>
      <c r="C746" s="22" t="s">
        <v>56</v>
      </c>
      <c r="D746" s="22" t="s">
        <v>10</v>
      </c>
      <c r="E746" s="29">
        <v>199.0</v>
      </c>
      <c r="F746" s="24">
        <v>820.0</v>
      </c>
      <c r="G746" s="24">
        <v>820.0</v>
      </c>
      <c r="H746" s="24">
        <v>163180.0</v>
      </c>
      <c r="I746" s="24">
        <v>4115.15</v>
      </c>
      <c r="J746" s="24">
        <v>1744.85</v>
      </c>
      <c r="K746" s="22" t="s">
        <v>133</v>
      </c>
      <c r="L746" s="29">
        <v>10.0</v>
      </c>
      <c r="M746" s="22" t="s">
        <v>763</v>
      </c>
    </row>
    <row r="747" ht="15.75" customHeight="1">
      <c r="A747" s="22" t="s">
        <v>833</v>
      </c>
      <c r="B747" s="23">
        <v>46231.0</v>
      </c>
      <c r="C747" s="22" t="s">
        <v>38</v>
      </c>
      <c r="D747" s="22" t="s">
        <v>10</v>
      </c>
      <c r="E747" s="29">
        <v>502.0</v>
      </c>
      <c r="F747" s="24">
        <v>845.0</v>
      </c>
      <c r="G747" s="24">
        <v>845.0</v>
      </c>
      <c r="H747" s="24">
        <v>424190.0</v>
      </c>
      <c r="I747" s="24">
        <v>28914.88</v>
      </c>
      <c r="J747" s="24">
        <v>0.0</v>
      </c>
      <c r="K747" s="22" t="s">
        <v>116</v>
      </c>
      <c r="L747" s="29">
        <v>10.0</v>
      </c>
      <c r="M747" s="22" t="s">
        <v>763</v>
      </c>
    </row>
    <row r="748" ht="15.75" customHeight="1">
      <c r="A748" s="22" t="s">
        <v>834</v>
      </c>
      <c r="B748" s="23">
        <v>46231.0</v>
      </c>
      <c r="C748" s="22" t="s">
        <v>38</v>
      </c>
      <c r="D748" s="22" t="s">
        <v>49</v>
      </c>
      <c r="E748" s="29">
        <v>263.0</v>
      </c>
      <c r="F748" s="24">
        <v>235.0</v>
      </c>
      <c r="G748" s="24">
        <v>235.0</v>
      </c>
      <c r="H748" s="24">
        <v>61805.0</v>
      </c>
      <c r="I748" s="24">
        <v>1825.29</v>
      </c>
      <c r="J748" s="24">
        <v>351.5</v>
      </c>
      <c r="K748" s="22" t="s">
        <v>109</v>
      </c>
      <c r="L748" s="29">
        <v>5.0</v>
      </c>
      <c r="M748" s="22" t="s">
        <v>763</v>
      </c>
    </row>
    <row r="749" ht="15.75" customHeight="1">
      <c r="A749" s="22" t="s">
        <v>835</v>
      </c>
      <c r="B749" s="23">
        <v>46232.0</v>
      </c>
      <c r="C749" s="22" t="s">
        <v>56</v>
      </c>
      <c r="D749" s="22" t="s">
        <v>10</v>
      </c>
      <c r="E749" s="29">
        <v>294.0</v>
      </c>
      <c r="F749" s="24">
        <v>820.0</v>
      </c>
      <c r="G749" s="24">
        <v>820.0</v>
      </c>
      <c r="H749" s="24">
        <v>241080.0</v>
      </c>
      <c r="I749" s="24">
        <v>4524.77</v>
      </c>
      <c r="J749" s="24">
        <v>0.0</v>
      </c>
      <c r="K749" s="22" t="s">
        <v>116</v>
      </c>
      <c r="L749" s="29">
        <v>8.0</v>
      </c>
      <c r="M749" s="22" t="s">
        <v>763</v>
      </c>
    </row>
    <row r="750" ht="15.75" customHeight="1">
      <c r="A750" s="22" t="s">
        <v>836</v>
      </c>
      <c r="B750" s="23">
        <v>46232.0</v>
      </c>
      <c r="C750" s="22" t="s">
        <v>38</v>
      </c>
      <c r="D750" s="22" t="s">
        <v>49</v>
      </c>
      <c r="E750" s="29">
        <v>287.0</v>
      </c>
      <c r="F750" s="24">
        <v>235.0</v>
      </c>
      <c r="G750" s="24">
        <v>235.0</v>
      </c>
      <c r="H750" s="24">
        <v>67445.0</v>
      </c>
      <c r="I750" s="24">
        <v>4367.22</v>
      </c>
      <c r="J750" s="24">
        <v>0.0</v>
      </c>
      <c r="K750" s="22" t="s">
        <v>116</v>
      </c>
      <c r="L750" s="29">
        <v>6.0</v>
      </c>
      <c r="M750" s="22" t="s">
        <v>763</v>
      </c>
    </row>
    <row r="751" ht="15.75" customHeight="1">
      <c r="A751" s="22" t="s">
        <v>837</v>
      </c>
      <c r="B751" s="23">
        <v>46232.0</v>
      </c>
      <c r="C751" s="22" t="s">
        <v>48</v>
      </c>
      <c r="D751" s="22" t="s">
        <v>49</v>
      </c>
      <c r="E751" s="29">
        <v>664.0</v>
      </c>
      <c r="F751" s="24">
        <v>240.0</v>
      </c>
      <c r="G751" s="24">
        <v>240.0</v>
      </c>
      <c r="H751" s="24">
        <v>159360.0</v>
      </c>
      <c r="I751" s="24">
        <v>9296.65</v>
      </c>
      <c r="J751" s="24">
        <v>0.0</v>
      </c>
      <c r="K751" s="22" t="s">
        <v>116</v>
      </c>
      <c r="L751" s="29">
        <v>21.0</v>
      </c>
      <c r="M751" s="22" t="s">
        <v>763</v>
      </c>
    </row>
    <row r="752" ht="15.75" customHeight="1">
      <c r="A752" s="22" t="s">
        <v>838</v>
      </c>
      <c r="B752" s="23">
        <v>46232.0</v>
      </c>
      <c r="C752" s="22" t="s">
        <v>48</v>
      </c>
      <c r="D752" s="22" t="s">
        <v>10</v>
      </c>
      <c r="E752" s="29">
        <v>270.0</v>
      </c>
      <c r="F752" s="24">
        <v>850.0</v>
      </c>
      <c r="G752" s="24">
        <v>850.0</v>
      </c>
      <c r="H752" s="24">
        <v>229500.0</v>
      </c>
      <c r="I752" s="24">
        <v>13232.65</v>
      </c>
      <c r="J752" s="24">
        <v>843.92</v>
      </c>
      <c r="K752" s="22" t="s">
        <v>109</v>
      </c>
      <c r="L752" s="29">
        <v>3.0</v>
      </c>
      <c r="M752" s="22" t="s">
        <v>763</v>
      </c>
    </row>
    <row r="753" ht="15.75" customHeight="1">
      <c r="A753" s="22" t="s">
        <v>839</v>
      </c>
      <c r="B753" s="23">
        <v>46233.0</v>
      </c>
      <c r="C753" s="22" t="s">
        <v>56</v>
      </c>
      <c r="D753" s="22" t="s">
        <v>49</v>
      </c>
      <c r="E753" s="29">
        <v>176.0</v>
      </c>
      <c r="F753" s="24">
        <v>230.0</v>
      </c>
      <c r="G753" s="24">
        <v>230.0</v>
      </c>
      <c r="H753" s="24">
        <v>40480.0</v>
      </c>
      <c r="I753" s="24">
        <v>1150.07</v>
      </c>
      <c r="J753" s="24">
        <v>76.17</v>
      </c>
      <c r="K753" s="22" t="s">
        <v>133</v>
      </c>
      <c r="L753" s="29">
        <v>2.0</v>
      </c>
      <c r="M753" s="22" t="s">
        <v>763</v>
      </c>
    </row>
    <row r="754" ht="15.75" customHeight="1">
      <c r="A754" s="22" t="s">
        <v>840</v>
      </c>
      <c r="B754" s="23">
        <v>46233.0</v>
      </c>
      <c r="C754" s="22" t="s">
        <v>48</v>
      </c>
      <c r="D754" s="22" t="s">
        <v>10</v>
      </c>
      <c r="E754" s="29">
        <v>627.0</v>
      </c>
      <c r="F754" s="24">
        <v>850.0</v>
      </c>
      <c r="G754" s="24">
        <v>850.0</v>
      </c>
      <c r="H754" s="24">
        <v>532950.0</v>
      </c>
      <c r="I754" s="24">
        <v>38870.09</v>
      </c>
      <c r="J754" s="24">
        <v>1521.32</v>
      </c>
      <c r="K754" s="22" t="s">
        <v>114</v>
      </c>
      <c r="L754" s="29">
        <v>13.0</v>
      </c>
      <c r="M754" s="22" t="s">
        <v>763</v>
      </c>
    </row>
    <row r="755" ht="15.75" customHeight="1">
      <c r="A755" s="22" t="s">
        <v>841</v>
      </c>
      <c r="B755" s="23">
        <v>46233.0</v>
      </c>
      <c r="C755" s="22" t="s">
        <v>48</v>
      </c>
      <c r="D755" s="22" t="s">
        <v>49</v>
      </c>
      <c r="E755" s="29">
        <v>496.0</v>
      </c>
      <c r="F755" s="24">
        <v>240.0</v>
      </c>
      <c r="G755" s="24">
        <v>240.0</v>
      </c>
      <c r="H755" s="24">
        <v>119040.0</v>
      </c>
      <c r="I755" s="24">
        <v>4916.43</v>
      </c>
      <c r="J755" s="24">
        <v>1962.38</v>
      </c>
      <c r="K755" s="22" t="s">
        <v>112</v>
      </c>
      <c r="L755" s="29">
        <v>19.0</v>
      </c>
      <c r="M755" s="22" t="s">
        <v>763</v>
      </c>
    </row>
    <row r="756" ht="15.75" customHeight="1">
      <c r="A756" s="22" t="s">
        <v>842</v>
      </c>
      <c r="B756" s="23">
        <v>46233.0</v>
      </c>
      <c r="C756" s="22" t="s">
        <v>56</v>
      </c>
      <c r="D756" s="22" t="s">
        <v>10</v>
      </c>
      <c r="E756" s="29">
        <v>376.0</v>
      </c>
      <c r="F756" s="24">
        <v>820.0</v>
      </c>
      <c r="G756" s="24">
        <v>820.0</v>
      </c>
      <c r="H756" s="24">
        <v>308320.0</v>
      </c>
      <c r="I756" s="24">
        <v>7056.72</v>
      </c>
      <c r="J756" s="24">
        <v>2888.0</v>
      </c>
      <c r="K756" s="22" t="s">
        <v>109</v>
      </c>
      <c r="L756" s="29">
        <v>8.0</v>
      </c>
      <c r="M756" s="22" t="s">
        <v>763</v>
      </c>
    </row>
    <row r="757" ht="15.75" customHeight="1">
      <c r="A757" s="22" t="s">
        <v>843</v>
      </c>
      <c r="B757" s="23">
        <v>46233.0</v>
      </c>
      <c r="C757" s="22" t="s">
        <v>38</v>
      </c>
      <c r="D757" s="22" t="s">
        <v>10</v>
      </c>
      <c r="E757" s="29">
        <v>227.0</v>
      </c>
      <c r="F757" s="24">
        <v>845.0</v>
      </c>
      <c r="G757" s="24">
        <v>845.0</v>
      </c>
      <c r="H757" s="24">
        <v>191815.0</v>
      </c>
      <c r="I757" s="24">
        <v>8816.23</v>
      </c>
      <c r="J757" s="24">
        <v>1856.28</v>
      </c>
      <c r="K757" s="22" t="s">
        <v>133</v>
      </c>
      <c r="L757" s="29">
        <v>6.0</v>
      </c>
      <c r="M757" s="22" t="s">
        <v>763</v>
      </c>
    </row>
    <row r="758" ht="15.75" customHeight="1">
      <c r="A758" s="22" t="s">
        <v>844</v>
      </c>
      <c r="B758" s="23">
        <v>46234.0</v>
      </c>
      <c r="C758" s="22" t="s">
        <v>48</v>
      </c>
      <c r="D758" s="22" t="s">
        <v>49</v>
      </c>
      <c r="E758" s="29">
        <v>206.0</v>
      </c>
      <c r="F758" s="24">
        <v>240.0</v>
      </c>
      <c r="G758" s="24">
        <v>240.0</v>
      </c>
      <c r="H758" s="24">
        <v>49440.0</v>
      </c>
      <c r="I758" s="24">
        <v>2000.48</v>
      </c>
      <c r="J758" s="24">
        <v>259.16</v>
      </c>
      <c r="K758" s="22" t="s">
        <v>112</v>
      </c>
      <c r="L758" s="29">
        <v>11.0</v>
      </c>
      <c r="M758" s="22" t="s">
        <v>763</v>
      </c>
    </row>
    <row r="759" ht="15.75" customHeight="1">
      <c r="A759" s="22" t="s">
        <v>845</v>
      </c>
      <c r="B759" s="23">
        <v>46234.0</v>
      </c>
      <c r="C759" s="22" t="s">
        <v>56</v>
      </c>
      <c r="D759" s="22" t="s">
        <v>108</v>
      </c>
      <c r="E759" s="29">
        <v>679.0</v>
      </c>
      <c r="F759" s="24">
        <v>1250.0</v>
      </c>
      <c r="G759" s="24">
        <v>1250.0</v>
      </c>
      <c r="H759" s="24">
        <v>848750.0</v>
      </c>
      <c r="I759" s="24">
        <v>21755.18</v>
      </c>
      <c r="J759" s="24">
        <v>0.0</v>
      </c>
      <c r="K759" s="22" t="s">
        <v>116</v>
      </c>
      <c r="L759" s="29">
        <v>8.0</v>
      </c>
      <c r="M759" s="22" t="s">
        <v>763</v>
      </c>
    </row>
    <row r="760" ht="15.75" customHeight="1">
      <c r="A760" s="22" t="s">
        <v>846</v>
      </c>
      <c r="B760" s="23">
        <v>46235.0</v>
      </c>
      <c r="C760" s="22" t="s">
        <v>38</v>
      </c>
      <c r="D760" s="22" t="s">
        <v>108</v>
      </c>
      <c r="E760" s="29">
        <v>914.0</v>
      </c>
      <c r="F760" s="24">
        <v>1290.0</v>
      </c>
      <c r="G760" s="24">
        <v>1290.0</v>
      </c>
      <c r="H760" s="24">
        <v>1179060.0</v>
      </c>
      <c r="I760" s="24">
        <v>72695.54</v>
      </c>
      <c r="J760" s="24">
        <v>18587.28</v>
      </c>
      <c r="K760" s="22" t="s">
        <v>114</v>
      </c>
      <c r="L760" s="29">
        <v>16.0</v>
      </c>
      <c r="M760" s="22" t="s">
        <v>847</v>
      </c>
    </row>
    <row r="761" ht="15.75" customHeight="1">
      <c r="A761" s="22" t="s">
        <v>848</v>
      </c>
      <c r="B761" s="23">
        <v>46235.0</v>
      </c>
      <c r="C761" s="22" t="s">
        <v>56</v>
      </c>
      <c r="D761" s="22" t="s">
        <v>49</v>
      </c>
      <c r="E761" s="29">
        <v>338.0</v>
      </c>
      <c r="F761" s="24">
        <v>230.0</v>
      </c>
      <c r="G761" s="24">
        <v>230.0</v>
      </c>
      <c r="H761" s="24">
        <v>77740.0</v>
      </c>
      <c r="I761" s="24">
        <v>821.32</v>
      </c>
      <c r="J761" s="24">
        <v>300.94</v>
      </c>
      <c r="K761" s="22" t="s">
        <v>114</v>
      </c>
      <c r="L761" s="29">
        <v>15.0</v>
      </c>
      <c r="M761" s="22" t="s">
        <v>847</v>
      </c>
    </row>
    <row r="762" ht="15.75" customHeight="1">
      <c r="A762" s="22" t="s">
        <v>849</v>
      </c>
      <c r="B762" s="23">
        <v>46236.0</v>
      </c>
      <c r="C762" s="22" t="s">
        <v>48</v>
      </c>
      <c r="D762" s="22" t="s">
        <v>49</v>
      </c>
      <c r="E762" s="29">
        <v>351.0</v>
      </c>
      <c r="F762" s="24">
        <v>240.0</v>
      </c>
      <c r="G762" s="24">
        <v>240.0</v>
      </c>
      <c r="H762" s="24">
        <v>84240.0</v>
      </c>
      <c r="I762" s="24">
        <v>3097.48</v>
      </c>
      <c r="J762" s="24">
        <v>0.0</v>
      </c>
      <c r="K762" s="22" t="s">
        <v>116</v>
      </c>
      <c r="L762" s="29">
        <v>11.0</v>
      </c>
      <c r="M762" s="22" t="s">
        <v>847</v>
      </c>
    </row>
    <row r="763" ht="15.75" customHeight="1">
      <c r="A763" s="22" t="s">
        <v>850</v>
      </c>
      <c r="B763" s="23">
        <v>46236.0</v>
      </c>
      <c r="C763" s="22" t="s">
        <v>56</v>
      </c>
      <c r="D763" s="22" t="s">
        <v>10</v>
      </c>
      <c r="E763" s="29">
        <v>675.0</v>
      </c>
      <c r="F763" s="24">
        <v>820.0</v>
      </c>
      <c r="G763" s="24">
        <v>820.0</v>
      </c>
      <c r="H763" s="24">
        <v>553500.0</v>
      </c>
      <c r="I763" s="24">
        <v>17300.96</v>
      </c>
      <c r="J763" s="24">
        <v>0.0</v>
      </c>
      <c r="K763" s="22" t="s">
        <v>116</v>
      </c>
      <c r="L763" s="29">
        <v>23.0</v>
      </c>
      <c r="M763" s="22" t="s">
        <v>847</v>
      </c>
    </row>
    <row r="764" ht="15.75" customHeight="1">
      <c r="A764" s="22" t="s">
        <v>851</v>
      </c>
      <c r="B764" s="23">
        <v>46236.0</v>
      </c>
      <c r="C764" s="22" t="s">
        <v>48</v>
      </c>
      <c r="D764" s="22" t="s">
        <v>49</v>
      </c>
      <c r="E764" s="29">
        <v>648.0</v>
      </c>
      <c r="F764" s="24">
        <v>240.0</v>
      </c>
      <c r="G764" s="24">
        <v>240.0</v>
      </c>
      <c r="H764" s="24">
        <v>155520.0</v>
      </c>
      <c r="I764" s="24">
        <v>3504.1</v>
      </c>
      <c r="J764" s="24">
        <v>0.0</v>
      </c>
      <c r="K764" s="22" t="s">
        <v>116</v>
      </c>
      <c r="L764" s="29">
        <v>22.0</v>
      </c>
      <c r="M764" s="22" t="s">
        <v>847</v>
      </c>
    </row>
    <row r="765" ht="15.75" customHeight="1">
      <c r="A765" s="22" t="s">
        <v>852</v>
      </c>
      <c r="B765" s="23">
        <v>46236.0</v>
      </c>
      <c r="C765" s="22" t="s">
        <v>48</v>
      </c>
      <c r="D765" s="22" t="s">
        <v>108</v>
      </c>
      <c r="E765" s="29">
        <v>1101.0</v>
      </c>
      <c r="F765" s="24">
        <v>1300.0</v>
      </c>
      <c r="G765" s="24">
        <v>1300.0</v>
      </c>
      <c r="H765" s="24">
        <v>1431300.0</v>
      </c>
      <c r="I765" s="24">
        <v>36164.06</v>
      </c>
      <c r="J765" s="24">
        <v>0.0</v>
      </c>
      <c r="K765" s="22" t="s">
        <v>116</v>
      </c>
      <c r="L765" s="29">
        <v>24.0</v>
      </c>
      <c r="M765" s="22" t="s">
        <v>847</v>
      </c>
    </row>
    <row r="766" ht="15.75" customHeight="1">
      <c r="A766" s="22" t="s">
        <v>853</v>
      </c>
      <c r="B766" s="23">
        <v>46236.0</v>
      </c>
      <c r="C766" s="22" t="s">
        <v>38</v>
      </c>
      <c r="D766" s="22" t="s">
        <v>10</v>
      </c>
      <c r="E766" s="29">
        <v>192.0</v>
      </c>
      <c r="F766" s="24">
        <v>845.0</v>
      </c>
      <c r="G766" s="24">
        <v>845.0</v>
      </c>
      <c r="H766" s="24">
        <v>162240.0</v>
      </c>
      <c r="I766" s="24">
        <v>12163.44</v>
      </c>
      <c r="J766" s="24">
        <v>0.0</v>
      </c>
      <c r="K766" s="22" t="s">
        <v>116</v>
      </c>
      <c r="L766" s="29">
        <v>1.0</v>
      </c>
      <c r="M766" s="22" t="s">
        <v>847</v>
      </c>
    </row>
    <row r="767" ht="15.75" customHeight="1">
      <c r="A767" s="22" t="s">
        <v>854</v>
      </c>
      <c r="B767" s="23">
        <v>46236.0</v>
      </c>
      <c r="C767" s="22" t="s">
        <v>38</v>
      </c>
      <c r="D767" s="22" t="s">
        <v>10</v>
      </c>
      <c r="E767" s="29">
        <v>258.0</v>
      </c>
      <c r="F767" s="24">
        <v>845.0</v>
      </c>
      <c r="G767" s="24">
        <v>845.0</v>
      </c>
      <c r="H767" s="24">
        <v>218010.0</v>
      </c>
      <c r="I767" s="24">
        <v>12809.2</v>
      </c>
      <c r="J767" s="24">
        <v>0.0</v>
      </c>
      <c r="K767" s="22" t="s">
        <v>116</v>
      </c>
      <c r="L767" s="29">
        <v>5.0</v>
      </c>
      <c r="M767" s="22" t="s">
        <v>847</v>
      </c>
    </row>
    <row r="768" ht="15.75" customHeight="1">
      <c r="A768" s="22" t="s">
        <v>855</v>
      </c>
      <c r="B768" s="23">
        <v>46236.0</v>
      </c>
      <c r="C768" s="22" t="s">
        <v>48</v>
      </c>
      <c r="D768" s="22" t="s">
        <v>10</v>
      </c>
      <c r="E768" s="29">
        <v>242.0</v>
      </c>
      <c r="F768" s="24">
        <v>850.0</v>
      </c>
      <c r="G768" s="24">
        <v>850.0</v>
      </c>
      <c r="H768" s="24">
        <v>205700.0</v>
      </c>
      <c r="I768" s="24">
        <v>10014.74</v>
      </c>
      <c r="J768" s="24">
        <v>1068.32</v>
      </c>
      <c r="K768" s="22" t="s">
        <v>114</v>
      </c>
      <c r="L768" s="29">
        <v>8.0</v>
      </c>
      <c r="M768" s="22" t="s">
        <v>847</v>
      </c>
    </row>
    <row r="769" ht="15.75" customHeight="1">
      <c r="A769" s="22" t="s">
        <v>856</v>
      </c>
      <c r="B769" s="23">
        <v>46236.0</v>
      </c>
      <c r="C769" s="22" t="s">
        <v>38</v>
      </c>
      <c r="D769" s="22" t="s">
        <v>10</v>
      </c>
      <c r="E769" s="29">
        <v>251.0</v>
      </c>
      <c r="F769" s="24">
        <v>845.0</v>
      </c>
      <c r="G769" s="24">
        <v>845.0</v>
      </c>
      <c r="H769" s="24">
        <v>212095.0</v>
      </c>
      <c r="I769" s="24">
        <v>19808.11</v>
      </c>
      <c r="J769" s="24">
        <v>1221.59</v>
      </c>
      <c r="K769" s="22" t="s">
        <v>133</v>
      </c>
      <c r="L769" s="29">
        <v>3.0</v>
      </c>
      <c r="M769" s="22" t="s">
        <v>847</v>
      </c>
    </row>
    <row r="770" ht="15.75" customHeight="1">
      <c r="A770" s="22" t="s">
        <v>857</v>
      </c>
      <c r="B770" s="23">
        <v>46237.0</v>
      </c>
      <c r="C770" s="22" t="s">
        <v>56</v>
      </c>
      <c r="D770" s="22" t="s">
        <v>10</v>
      </c>
      <c r="E770" s="29">
        <v>409.0</v>
      </c>
      <c r="F770" s="24">
        <v>820.0</v>
      </c>
      <c r="G770" s="24">
        <v>820.0</v>
      </c>
      <c r="H770" s="24">
        <v>335380.0</v>
      </c>
      <c r="I770" s="24">
        <v>11230.71</v>
      </c>
      <c r="J770" s="24">
        <v>0.0</v>
      </c>
      <c r="K770" s="22" t="s">
        <v>116</v>
      </c>
      <c r="L770" s="29">
        <v>14.0</v>
      </c>
      <c r="M770" s="22" t="s">
        <v>847</v>
      </c>
    </row>
    <row r="771" ht="15.75" customHeight="1">
      <c r="A771" s="22" t="s">
        <v>858</v>
      </c>
      <c r="B771" s="23">
        <v>46237.0</v>
      </c>
      <c r="C771" s="22" t="s">
        <v>48</v>
      </c>
      <c r="D771" s="22" t="s">
        <v>108</v>
      </c>
      <c r="E771" s="29">
        <v>641.0</v>
      </c>
      <c r="F771" s="24">
        <v>1300.0</v>
      </c>
      <c r="G771" s="24">
        <v>1300.0</v>
      </c>
      <c r="H771" s="24">
        <v>833300.0</v>
      </c>
      <c r="I771" s="24">
        <v>66107.12</v>
      </c>
      <c r="J771" s="24">
        <v>10612.6</v>
      </c>
      <c r="K771" s="22" t="s">
        <v>112</v>
      </c>
      <c r="L771" s="29">
        <v>10.0</v>
      </c>
      <c r="M771" s="22" t="s">
        <v>847</v>
      </c>
    </row>
    <row r="772" ht="15.75" customHeight="1">
      <c r="A772" s="22" t="s">
        <v>859</v>
      </c>
      <c r="B772" s="23">
        <v>46237.0</v>
      </c>
      <c r="C772" s="22" t="s">
        <v>38</v>
      </c>
      <c r="D772" s="22" t="s">
        <v>49</v>
      </c>
      <c r="E772" s="29">
        <v>285.0</v>
      </c>
      <c r="F772" s="24">
        <v>235.0</v>
      </c>
      <c r="G772" s="24">
        <v>235.0</v>
      </c>
      <c r="H772" s="24">
        <v>66975.0</v>
      </c>
      <c r="I772" s="24">
        <v>3300.96</v>
      </c>
      <c r="J772" s="24">
        <v>757.4</v>
      </c>
      <c r="K772" s="22" t="s">
        <v>133</v>
      </c>
      <c r="L772" s="29">
        <v>9.0</v>
      </c>
      <c r="M772" s="22" t="s">
        <v>847</v>
      </c>
    </row>
    <row r="773" ht="15.75" customHeight="1">
      <c r="A773" s="22" t="s">
        <v>860</v>
      </c>
      <c r="B773" s="23">
        <v>46237.0</v>
      </c>
      <c r="C773" s="22" t="s">
        <v>38</v>
      </c>
      <c r="D773" s="22" t="s">
        <v>49</v>
      </c>
      <c r="E773" s="29">
        <v>174.0</v>
      </c>
      <c r="F773" s="24">
        <v>235.0</v>
      </c>
      <c r="G773" s="24">
        <v>235.0</v>
      </c>
      <c r="H773" s="24">
        <v>40890.0</v>
      </c>
      <c r="I773" s="24">
        <v>2663.59</v>
      </c>
      <c r="J773" s="24">
        <v>561.77</v>
      </c>
      <c r="K773" s="22" t="s">
        <v>133</v>
      </c>
      <c r="L773" s="29">
        <v>3.0</v>
      </c>
      <c r="M773" s="22" t="s">
        <v>847</v>
      </c>
    </row>
    <row r="774" ht="15.75" customHeight="1">
      <c r="A774" s="22" t="s">
        <v>861</v>
      </c>
      <c r="B774" s="23">
        <v>46237.0</v>
      </c>
      <c r="C774" s="22" t="s">
        <v>38</v>
      </c>
      <c r="D774" s="22" t="s">
        <v>10</v>
      </c>
      <c r="E774" s="29">
        <v>311.0</v>
      </c>
      <c r="F774" s="24">
        <v>845.0</v>
      </c>
      <c r="G774" s="24">
        <v>845.0</v>
      </c>
      <c r="H774" s="24">
        <v>262795.0</v>
      </c>
      <c r="I774" s="24">
        <v>17741.73</v>
      </c>
      <c r="J774" s="24">
        <v>1398.22</v>
      </c>
      <c r="K774" s="22" t="s">
        <v>114</v>
      </c>
      <c r="L774" s="29">
        <v>6.0</v>
      </c>
      <c r="M774" s="22" t="s">
        <v>847</v>
      </c>
    </row>
    <row r="775" ht="15.75" customHeight="1">
      <c r="A775" s="22" t="s">
        <v>862</v>
      </c>
      <c r="B775" s="23">
        <v>46237.0</v>
      </c>
      <c r="C775" s="22" t="s">
        <v>56</v>
      </c>
      <c r="D775" s="22" t="s">
        <v>49</v>
      </c>
      <c r="E775" s="29">
        <v>118.0</v>
      </c>
      <c r="F775" s="24">
        <v>230.0</v>
      </c>
      <c r="G775" s="24">
        <v>230.0</v>
      </c>
      <c r="H775" s="24">
        <v>27140.0</v>
      </c>
      <c r="I775" s="24">
        <v>470.96</v>
      </c>
      <c r="J775" s="24">
        <v>0.0</v>
      </c>
      <c r="K775" s="22" t="s">
        <v>116</v>
      </c>
      <c r="L775" s="29">
        <v>3.0</v>
      </c>
      <c r="M775" s="22" t="s">
        <v>847</v>
      </c>
    </row>
    <row r="776" ht="15.75" customHeight="1">
      <c r="A776" s="22" t="s">
        <v>863</v>
      </c>
      <c r="B776" s="23">
        <v>46237.0</v>
      </c>
      <c r="C776" s="22" t="s">
        <v>48</v>
      </c>
      <c r="D776" s="22" t="s">
        <v>10</v>
      </c>
      <c r="E776" s="29">
        <v>390.0</v>
      </c>
      <c r="F776" s="24">
        <v>850.0</v>
      </c>
      <c r="G776" s="24">
        <v>850.0</v>
      </c>
      <c r="H776" s="24">
        <v>331500.0</v>
      </c>
      <c r="I776" s="24">
        <v>15983.27</v>
      </c>
      <c r="J776" s="24">
        <v>0.0</v>
      </c>
      <c r="K776" s="22" t="s">
        <v>116</v>
      </c>
      <c r="L776" s="29">
        <v>11.0</v>
      </c>
      <c r="M776" s="22" t="s">
        <v>847</v>
      </c>
    </row>
    <row r="777" ht="15.75" customHeight="1">
      <c r="A777" s="22" t="s">
        <v>864</v>
      </c>
      <c r="B777" s="23">
        <v>46238.0</v>
      </c>
      <c r="C777" s="22" t="s">
        <v>48</v>
      </c>
      <c r="D777" s="22" t="s">
        <v>10</v>
      </c>
      <c r="E777" s="29">
        <v>351.0</v>
      </c>
      <c r="F777" s="24">
        <v>850.0</v>
      </c>
      <c r="G777" s="24">
        <v>850.0</v>
      </c>
      <c r="H777" s="24">
        <v>298350.0</v>
      </c>
      <c r="I777" s="24">
        <v>8142.31</v>
      </c>
      <c r="J777" s="24">
        <v>864.46</v>
      </c>
      <c r="K777" s="22" t="s">
        <v>114</v>
      </c>
      <c r="L777" s="29">
        <v>13.0</v>
      </c>
      <c r="M777" s="22" t="s">
        <v>847</v>
      </c>
    </row>
    <row r="778" ht="15.75" customHeight="1">
      <c r="A778" s="22" t="s">
        <v>865</v>
      </c>
      <c r="B778" s="23">
        <v>46238.0</v>
      </c>
      <c r="C778" s="22" t="s">
        <v>48</v>
      </c>
      <c r="D778" s="22" t="s">
        <v>108</v>
      </c>
      <c r="E778" s="29">
        <v>765.0</v>
      </c>
      <c r="F778" s="24">
        <v>1300.0</v>
      </c>
      <c r="G778" s="24">
        <v>1300.0</v>
      </c>
      <c r="H778" s="24">
        <v>994500.0</v>
      </c>
      <c r="I778" s="24">
        <v>27594.15</v>
      </c>
      <c r="J778" s="24">
        <v>5615.72</v>
      </c>
      <c r="K778" s="22" t="s">
        <v>109</v>
      </c>
      <c r="L778" s="29">
        <v>11.0</v>
      </c>
      <c r="M778" s="22" t="s">
        <v>847</v>
      </c>
    </row>
    <row r="779" ht="15.75" customHeight="1">
      <c r="A779" s="22" t="s">
        <v>866</v>
      </c>
      <c r="B779" s="23">
        <v>46238.0</v>
      </c>
      <c r="C779" s="22" t="s">
        <v>48</v>
      </c>
      <c r="D779" s="22" t="s">
        <v>49</v>
      </c>
      <c r="E779" s="29">
        <v>253.0</v>
      </c>
      <c r="F779" s="24">
        <v>240.0</v>
      </c>
      <c r="G779" s="24">
        <v>240.0</v>
      </c>
      <c r="H779" s="24">
        <v>60720.0</v>
      </c>
      <c r="I779" s="24">
        <v>1510.1</v>
      </c>
      <c r="J779" s="24">
        <v>759.81</v>
      </c>
      <c r="K779" s="22" t="s">
        <v>109</v>
      </c>
      <c r="L779" s="29">
        <v>4.0</v>
      </c>
      <c r="M779" s="22" t="s">
        <v>847</v>
      </c>
    </row>
    <row r="780" ht="15.75" customHeight="1">
      <c r="A780" s="22" t="s">
        <v>867</v>
      </c>
      <c r="B780" s="23">
        <v>46238.0</v>
      </c>
      <c r="C780" s="22" t="s">
        <v>56</v>
      </c>
      <c r="D780" s="22" t="s">
        <v>49</v>
      </c>
      <c r="E780" s="29">
        <v>476.0</v>
      </c>
      <c r="F780" s="24">
        <v>230.0</v>
      </c>
      <c r="G780" s="24">
        <v>230.0</v>
      </c>
      <c r="H780" s="24">
        <v>109480.0</v>
      </c>
      <c r="I780" s="24">
        <v>1462.25</v>
      </c>
      <c r="J780" s="24">
        <v>1065.54</v>
      </c>
      <c r="K780" s="22" t="s">
        <v>109</v>
      </c>
      <c r="L780" s="29">
        <v>9.0</v>
      </c>
      <c r="M780" s="22" t="s">
        <v>847</v>
      </c>
    </row>
    <row r="781" ht="15.75" customHeight="1">
      <c r="A781" s="22" t="s">
        <v>868</v>
      </c>
      <c r="B781" s="23">
        <v>46238.0</v>
      </c>
      <c r="C781" s="22" t="s">
        <v>56</v>
      </c>
      <c r="D781" s="22" t="s">
        <v>10</v>
      </c>
      <c r="E781" s="29">
        <v>188.0</v>
      </c>
      <c r="F781" s="24">
        <v>820.0</v>
      </c>
      <c r="G781" s="24">
        <v>820.0</v>
      </c>
      <c r="H781" s="24">
        <v>154160.0</v>
      </c>
      <c r="I781" s="24">
        <v>1965.35</v>
      </c>
      <c r="J781" s="24">
        <v>0.0</v>
      </c>
      <c r="K781" s="22" t="s">
        <v>116</v>
      </c>
      <c r="L781" s="29">
        <v>1.0</v>
      </c>
      <c r="M781" s="22" t="s">
        <v>847</v>
      </c>
    </row>
    <row r="782" ht="15.75" customHeight="1">
      <c r="A782" s="22" t="s">
        <v>869</v>
      </c>
      <c r="B782" s="23">
        <v>46238.0</v>
      </c>
      <c r="C782" s="22" t="s">
        <v>56</v>
      </c>
      <c r="D782" s="22" t="s">
        <v>10</v>
      </c>
      <c r="E782" s="29">
        <v>259.0</v>
      </c>
      <c r="F782" s="24">
        <v>820.0</v>
      </c>
      <c r="G782" s="24">
        <v>820.0</v>
      </c>
      <c r="H782" s="24">
        <v>212380.0</v>
      </c>
      <c r="I782" s="24">
        <v>6033.69</v>
      </c>
      <c r="J782" s="24">
        <v>1429.34</v>
      </c>
      <c r="K782" s="22" t="s">
        <v>133</v>
      </c>
      <c r="L782" s="29">
        <v>6.0</v>
      </c>
      <c r="M782" s="22" t="s">
        <v>847</v>
      </c>
    </row>
    <row r="783" ht="15.75" customHeight="1">
      <c r="A783" s="22" t="s">
        <v>870</v>
      </c>
      <c r="B783" s="23">
        <v>46238.0</v>
      </c>
      <c r="C783" s="22" t="s">
        <v>38</v>
      </c>
      <c r="D783" s="22" t="s">
        <v>49</v>
      </c>
      <c r="E783" s="29">
        <v>583.0</v>
      </c>
      <c r="F783" s="24">
        <v>235.0</v>
      </c>
      <c r="G783" s="24">
        <v>235.0</v>
      </c>
      <c r="H783" s="24">
        <v>137005.0</v>
      </c>
      <c r="I783" s="24">
        <v>5245.16</v>
      </c>
      <c r="J783" s="24">
        <v>453.26</v>
      </c>
      <c r="K783" s="22" t="s">
        <v>112</v>
      </c>
      <c r="L783" s="29">
        <v>15.0</v>
      </c>
      <c r="M783" s="22" t="s">
        <v>847</v>
      </c>
    </row>
    <row r="784" ht="15.75" customHeight="1">
      <c r="A784" s="22" t="s">
        <v>871</v>
      </c>
      <c r="B784" s="23">
        <v>46238.0</v>
      </c>
      <c r="C784" s="22" t="s">
        <v>38</v>
      </c>
      <c r="D784" s="22" t="s">
        <v>49</v>
      </c>
      <c r="E784" s="29">
        <v>1212.0</v>
      </c>
      <c r="F784" s="24">
        <v>235.0</v>
      </c>
      <c r="G784" s="24">
        <v>235.0</v>
      </c>
      <c r="H784" s="24">
        <v>284820.0</v>
      </c>
      <c r="I784" s="24">
        <v>18929.77</v>
      </c>
      <c r="J784" s="24">
        <v>0.0</v>
      </c>
      <c r="K784" s="22" t="s">
        <v>116</v>
      </c>
      <c r="L784" s="29">
        <v>39.0</v>
      </c>
      <c r="M784" s="22" t="s">
        <v>847</v>
      </c>
    </row>
    <row r="785" ht="15.75" customHeight="1">
      <c r="A785" s="22" t="s">
        <v>872</v>
      </c>
      <c r="B785" s="23">
        <v>46239.0</v>
      </c>
      <c r="C785" s="22" t="s">
        <v>38</v>
      </c>
      <c r="D785" s="22" t="s">
        <v>49</v>
      </c>
      <c r="E785" s="29">
        <v>339.0</v>
      </c>
      <c r="F785" s="24">
        <v>235.0</v>
      </c>
      <c r="G785" s="24">
        <v>235.0</v>
      </c>
      <c r="H785" s="24">
        <v>79665.0</v>
      </c>
      <c r="I785" s="24">
        <v>5500.36</v>
      </c>
      <c r="J785" s="24">
        <v>0.0</v>
      </c>
      <c r="K785" s="22" t="s">
        <v>116</v>
      </c>
      <c r="L785" s="29">
        <v>10.0</v>
      </c>
      <c r="M785" s="22" t="s">
        <v>847</v>
      </c>
    </row>
    <row r="786" ht="15.75" customHeight="1">
      <c r="A786" s="22" t="s">
        <v>873</v>
      </c>
      <c r="B786" s="23">
        <v>46239.0</v>
      </c>
      <c r="C786" s="22" t="s">
        <v>38</v>
      </c>
      <c r="D786" s="22" t="s">
        <v>49</v>
      </c>
      <c r="E786" s="29">
        <v>100.0</v>
      </c>
      <c r="F786" s="24">
        <v>235.0</v>
      </c>
      <c r="G786" s="24">
        <v>235.0</v>
      </c>
      <c r="H786" s="24">
        <v>23500.0</v>
      </c>
      <c r="I786" s="24">
        <v>757.83</v>
      </c>
      <c r="J786" s="24">
        <v>0.0</v>
      </c>
      <c r="K786" s="22" t="s">
        <v>116</v>
      </c>
      <c r="L786" s="29">
        <v>6.0</v>
      </c>
      <c r="M786" s="22" t="s">
        <v>847</v>
      </c>
    </row>
    <row r="787" ht="15.75" customHeight="1">
      <c r="A787" s="22" t="s">
        <v>874</v>
      </c>
      <c r="B787" s="23">
        <v>46239.0</v>
      </c>
      <c r="C787" s="22" t="s">
        <v>56</v>
      </c>
      <c r="D787" s="22" t="s">
        <v>49</v>
      </c>
      <c r="E787" s="29">
        <v>499.0</v>
      </c>
      <c r="F787" s="24">
        <v>230.0</v>
      </c>
      <c r="G787" s="24">
        <v>230.0</v>
      </c>
      <c r="H787" s="24">
        <v>114770.0</v>
      </c>
      <c r="I787" s="24">
        <v>1333.25</v>
      </c>
      <c r="J787" s="24">
        <v>1147.66</v>
      </c>
      <c r="K787" s="22" t="s">
        <v>112</v>
      </c>
      <c r="L787" s="29">
        <v>17.0</v>
      </c>
      <c r="M787" s="22" t="s">
        <v>847</v>
      </c>
    </row>
    <row r="788" ht="15.75" customHeight="1">
      <c r="A788" s="22" t="s">
        <v>875</v>
      </c>
      <c r="B788" s="23">
        <v>46239.0</v>
      </c>
      <c r="C788" s="22" t="s">
        <v>48</v>
      </c>
      <c r="D788" s="22" t="s">
        <v>10</v>
      </c>
      <c r="E788" s="29">
        <v>77.0</v>
      </c>
      <c r="F788" s="24">
        <v>850.0</v>
      </c>
      <c r="G788" s="24">
        <v>850.0</v>
      </c>
      <c r="H788" s="24">
        <v>65450.0</v>
      </c>
      <c r="I788" s="24">
        <v>2650.3</v>
      </c>
      <c r="J788" s="24">
        <v>0.0</v>
      </c>
      <c r="K788" s="22" t="s">
        <v>116</v>
      </c>
      <c r="L788" s="29">
        <v>2.0</v>
      </c>
      <c r="M788" s="22" t="s">
        <v>847</v>
      </c>
    </row>
    <row r="789" ht="15.75" customHeight="1">
      <c r="A789" s="22" t="s">
        <v>876</v>
      </c>
      <c r="B789" s="23">
        <v>46239.0</v>
      </c>
      <c r="C789" s="22" t="s">
        <v>56</v>
      </c>
      <c r="D789" s="22" t="s">
        <v>10</v>
      </c>
      <c r="E789" s="29">
        <v>157.0</v>
      </c>
      <c r="F789" s="24">
        <v>820.0</v>
      </c>
      <c r="G789" s="24">
        <v>820.0</v>
      </c>
      <c r="H789" s="24">
        <v>128740.0</v>
      </c>
      <c r="I789" s="24">
        <v>1877.92</v>
      </c>
      <c r="J789" s="24">
        <v>986.89</v>
      </c>
      <c r="K789" s="22" t="s">
        <v>133</v>
      </c>
      <c r="L789" s="29">
        <v>2.0</v>
      </c>
      <c r="M789" s="22" t="s">
        <v>847</v>
      </c>
    </row>
    <row r="790" ht="15.75" customHeight="1">
      <c r="A790" s="22" t="s">
        <v>877</v>
      </c>
      <c r="B790" s="23">
        <v>46239.0</v>
      </c>
      <c r="C790" s="22" t="s">
        <v>56</v>
      </c>
      <c r="D790" s="22" t="s">
        <v>10</v>
      </c>
      <c r="E790" s="29">
        <v>310.0</v>
      </c>
      <c r="F790" s="24">
        <v>820.0</v>
      </c>
      <c r="G790" s="24">
        <v>820.0</v>
      </c>
      <c r="H790" s="24">
        <v>254200.0</v>
      </c>
      <c r="I790" s="24">
        <v>8408.22</v>
      </c>
      <c r="J790" s="24">
        <v>2604.62</v>
      </c>
      <c r="K790" s="22" t="s">
        <v>109</v>
      </c>
      <c r="L790" s="29">
        <v>8.0</v>
      </c>
      <c r="M790" s="22" t="s">
        <v>847</v>
      </c>
    </row>
    <row r="791" ht="15.75" customHeight="1">
      <c r="A791" s="22" t="s">
        <v>878</v>
      </c>
      <c r="B791" s="23">
        <v>46240.0</v>
      </c>
      <c r="C791" s="22" t="s">
        <v>38</v>
      </c>
      <c r="D791" s="22" t="s">
        <v>10</v>
      </c>
      <c r="E791" s="29">
        <v>294.0</v>
      </c>
      <c r="F791" s="24">
        <v>845.0</v>
      </c>
      <c r="G791" s="24">
        <v>845.0</v>
      </c>
      <c r="H791" s="24">
        <v>248430.0</v>
      </c>
      <c r="I791" s="24">
        <v>6735.44</v>
      </c>
      <c r="J791" s="24">
        <v>1893.18</v>
      </c>
      <c r="K791" s="22" t="s">
        <v>133</v>
      </c>
      <c r="L791" s="29">
        <v>4.0</v>
      </c>
      <c r="M791" s="22" t="s">
        <v>847</v>
      </c>
    </row>
    <row r="792" ht="15.75" customHeight="1">
      <c r="A792" s="22" t="s">
        <v>879</v>
      </c>
      <c r="B792" s="23">
        <v>46240.0</v>
      </c>
      <c r="C792" s="22" t="s">
        <v>38</v>
      </c>
      <c r="D792" s="22" t="s">
        <v>49</v>
      </c>
      <c r="E792" s="29">
        <v>419.0</v>
      </c>
      <c r="F792" s="24">
        <v>235.0</v>
      </c>
      <c r="G792" s="24">
        <v>235.0</v>
      </c>
      <c r="H792" s="24">
        <v>98465.0</v>
      </c>
      <c r="I792" s="24">
        <v>6594.65</v>
      </c>
      <c r="J792" s="24">
        <v>262.98</v>
      </c>
      <c r="K792" s="22" t="s">
        <v>109</v>
      </c>
      <c r="L792" s="29">
        <v>20.0</v>
      </c>
      <c r="M792" s="22" t="s">
        <v>847</v>
      </c>
    </row>
    <row r="793" ht="15.75" customHeight="1">
      <c r="A793" s="22" t="s">
        <v>880</v>
      </c>
      <c r="B793" s="23">
        <v>46240.0</v>
      </c>
      <c r="C793" s="22" t="s">
        <v>48</v>
      </c>
      <c r="D793" s="22" t="s">
        <v>49</v>
      </c>
      <c r="E793" s="29">
        <v>208.0</v>
      </c>
      <c r="F793" s="24">
        <v>240.0</v>
      </c>
      <c r="G793" s="24">
        <v>240.0</v>
      </c>
      <c r="H793" s="24">
        <v>49920.0</v>
      </c>
      <c r="I793" s="24">
        <v>2113.47</v>
      </c>
      <c r="J793" s="24">
        <v>0.0</v>
      </c>
      <c r="K793" s="22" t="s">
        <v>116</v>
      </c>
      <c r="L793" s="29">
        <v>3.0</v>
      </c>
      <c r="M793" s="22" t="s">
        <v>847</v>
      </c>
    </row>
    <row r="794" ht="15.75" customHeight="1">
      <c r="A794" s="22" t="s">
        <v>881</v>
      </c>
      <c r="B794" s="23">
        <v>46241.0</v>
      </c>
      <c r="C794" s="22" t="s">
        <v>48</v>
      </c>
      <c r="D794" s="22" t="s">
        <v>10</v>
      </c>
      <c r="E794" s="29">
        <v>110.0</v>
      </c>
      <c r="F794" s="24">
        <v>850.0</v>
      </c>
      <c r="G794" s="24">
        <v>850.0</v>
      </c>
      <c r="H794" s="24">
        <v>93500.0</v>
      </c>
      <c r="I794" s="24">
        <v>3659.41</v>
      </c>
      <c r="J794" s="24">
        <v>1193.31</v>
      </c>
      <c r="K794" s="22" t="s">
        <v>109</v>
      </c>
      <c r="L794" s="29">
        <v>1.0</v>
      </c>
      <c r="M794" s="22" t="s">
        <v>847</v>
      </c>
    </row>
    <row r="795" ht="15.75" customHeight="1">
      <c r="A795" s="22" t="s">
        <v>882</v>
      </c>
      <c r="B795" s="23">
        <v>46241.0</v>
      </c>
      <c r="C795" s="22" t="s">
        <v>38</v>
      </c>
      <c r="D795" s="22" t="s">
        <v>49</v>
      </c>
      <c r="E795" s="29">
        <v>528.0</v>
      </c>
      <c r="F795" s="24">
        <v>235.0</v>
      </c>
      <c r="G795" s="24">
        <v>235.0</v>
      </c>
      <c r="H795" s="24">
        <v>124080.0</v>
      </c>
      <c r="I795" s="24">
        <v>12033.39</v>
      </c>
      <c r="J795" s="24">
        <v>996.64</v>
      </c>
      <c r="K795" s="22" t="s">
        <v>109</v>
      </c>
      <c r="L795" s="29">
        <v>13.0</v>
      </c>
      <c r="M795" s="22" t="s">
        <v>847</v>
      </c>
    </row>
    <row r="796" ht="15.75" customHeight="1">
      <c r="A796" s="22" t="s">
        <v>883</v>
      </c>
      <c r="B796" s="23">
        <v>46241.0</v>
      </c>
      <c r="C796" s="22" t="s">
        <v>48</v>
      </c>
      <c r="D796" s="22" t="s">
        <v>49</v>
      </c>
      <c r="E796" s="29">
        <v>220.0</v>
      </c>
      <c r="F796" s="24">
        <v>240.0</v>
      </c>
      <c r="G796" s="24">
        <v>240.0</v>
      </c>
      <c r="H796" s="24">
        <v>52800.0</v>
      </c>
      <c r="I796" s="24">
        <v>1581.83</v>
      </c>
      <c r="J796" s="24">
        <v>799.66</v>
      </c>
      <c r="K796" s="22" t="s">
        <v>133</v>
      </c>
      <c r="L796" s="29">
        <v>9.0</v>
      </c>
      <c r="M796" s="22" t="s">
        <v>847</v>
      </c>
    </row>
    <row r="797" ht="15.75" customHeight="1">
      <c r="A797" s="22" t="s">
        <v>884</v>
      </c>
      <c r="B797" s="23">
        <v>46242.0</v>
      </c>
      <c r="C797" s="22" t="s">
        <v>48</v>
      </c>
      <c r="D797" s="22" t="s">
        <v>10</v>
      </c>
      <c r="E797" s="29">
        <v>363.0</v>
      </c>
      <c r="F797" s="24">
        <v>850.0</v>
      </c>
      <c r="G797" s="24">
        <v>850.0</v>
      </c>
      <c r="H797" s="24">
        <v>308550.0</v>
      </c>
      <c r="I797" s="24">
        <v>18202.27</v>
      </c>
      <c r="J797" s="24">
        <v>2328.91</v>
      </c>
      <c r="K797" s="22" t="s">
        <v>133</v>
      </c>
      <c r="L797" s="29">
        <v>6.0</v>
      </c>
      <c r="M797" s="22" t="s">
        <v>847</v>
      </c>
    </row>
    <row r="798" ht="15.75" customHeight="1">
      <c r="A798" s="22" t="s">
        <v>885</v>
      </c>
      <c r="B798" s="23">
        <v>46242.0</v>
      </c>
      <c r="C798" s="22" t="s">
        <v>38</v>
      </c>
      <c r="D798" s="22" t="s">
        <v>10</v>
      </c>
      <c r="E798" s="29">
        <v>166.0</v>
      </c>
      <c r="F798" s="24">
        <v>845.0</v>
      </c>
      <c r="G798" s="24">
        <v>845.0</v>
      </c>
      <c r="H798" s="24">
        <v>140270.0</v>
      </c>
      <c r="I798" s="24">
        <v>5769.02</v>
      </c>
      <c r="J798" s="24">
        <v>285.36</v>
      </c>
      <c r="K798" s="22" t="s">
        <v>114</v>
      </c>
      <c r="L798" s="29">
        <v>3.0</v>
      </c>
      <c r="M798" s="22" t="s">
        <v>847</v>
      </c>
    </row>
    <row r="799" ht="15.75" customHeight="1">
      <c r="A799" s="22" t="s">
        <v>886</v>
      </c>
      <c r="B799" s="23">
        <v>46242.0</v>
      </c>
      <c r="C799" s="22" t="s">
        <v>38</v>
      </c>
      <c r="D799" s="22" t="s">
        <v>49</v>
      </c>
      <c r="E799" s="29">
        <v>292.0</v>
      </c>
      <c r="F799" s="24">
        <v>235.0</v>
      </c>
      <c r="G799" s="24">
        <v>235.0</v>
      </c>
      <c r="H799" s="24">
        <v>68620.0</v>
      </c>
      <c r="I799" s="24">
        <v>2786.94</v>
      </c>
      <c r="J799" s="24">
        <v>0.0</v>
      </c>
      <c r="K799" s="22" t="s">
        <v>116</v>
      </c>
      <c r="L799" s="29">
        <v>10.0</v>
      </c>
      <c r="M799" s="22" t="s">
        <v>847</v>
      </c>
    </row>
    <row r="800" ht="15.75" customHeight="1">
      <c r="A800" s="22" t="s">
        <v>887</v>
      </c>
      <c r="B800" s="23">
        <v>46242.0</v>
      </c>
      <c r="C800" s="22" t="s">
        <v>38</v>
      </c>
      <c r="D800" s="22" t="s">
        <v>49</v>
      </c>
      <c r="E800" s="29">
        <v>431.0</v>
      </c>
      <c r="F800" s="24">
        <v>235.0</v>
      </c>
      <c r="G800" s="24">
        <v>235.0</v>
      </c>
      <c r="H800" s="24">
        <v>101285.0</v>
      </c>
      <c r="I800" s="24">
        <v>3084.36</v>
      </c>
      <c r="J800" s="24">
        <v>373.51</v>
      </c>
      <c r="K800" s="22" t="s">
        <v>114</v>
      </c>
      <c r="L800" s="29">
        <v>12.0</v>
      </c>
      <c r="M800" s="22" t="s">
        <v>847</v>
      </c>
    </row>
    <row r="801" ht="15.75" customHeight="1">
      <c r="A801" s="22" t="s">
        <v>888</v>
      </c>
      <c r="B801" s="23">
        <v>46243.0</v>
      </c>
      <c r="C801" s="22" t="s">
        <v>38</v>
      </c>
      <c r="D801" s="22" t="s">
        <v>108</v>
      </c>
      <c r="E801" s="29">
        <v>333.0</v>
      </c>
      <c r="F801" s="24">
        <v>1290.0</v>
      </c>
      <c r="G801" s="24">
        <v>1290.0</v>
      </c>
      <c r="H801" s="24">
        <v>429570.0</v>
      </c>
      <c r="I801" s="24">
        <v>26850.45</v>
      </c>
      <c r="J801" s="24">
        <v>7367.51</v>
      </c>
      <c r="K801" s="22" t="s">
        <v>114</v>
      </c>
      <c r="L801" s="29">
        <v>7.0</v>
      </c>
      <c r="M801" s="22" t="s">
        <v>847</v>
      </c>
    </row>
    <row r="802" ht="15.75" customHeight="1">
      <c r="A802" s="22" t="s">
        <v>889</v>
      </c>
      <c r="B802" s="23">
        <v>46243.0</v>
      </c>
      <c r="C802" s="22" t="s">
        <v>48</v>
      </c>
      <c r="D802" s="22" t="s">
        <v>10</v>
      </c>
      <c r="E802" s="29">
        <v>170.0</v>
      </c>
      <c r="F802" s="24">
        <v>850.0</v>
      </c>
      <c r="G802" s="24">
        <v>850.0</v>
      </c>
      <c r="H802" s="24">
        <v>144500.0</v>
      </c>
      <c r="I802" s="24">
        <v>10696.13</v>
      </c>
      <c r="J802" s="24">
        <v>0.0</v>
      </c>
      <c r="K802" s="22" t="s">
        <v>116</v>
      </c>
      <c r="L802" s="29">
        <v>4.0</v>
      </c>
      <c r="M802" s="22" t="s">
        <v>847</v>
      </c>
    </row>
    <row r="803" ht="15.75" customHeight="1">
      <c r="A803" s="22" t="s">
        <v>890</v>
      </c>
      <c r="B803" s="23">
        <v>46243.0</v>
      </c>
      <c r="C803" s="22" t="s">
        <v>48</v>
      </c>
      <c r="D803" s="22" t="s">
        <v>10</v>
      </c>
      <c r="E803" s="29">
        <v>520.0</v>
      </c>
      <c r="F803" s="24">
        <v>850.0</v>
      </c>
      <c r="G803" s="24">
        <v>850.0</v>
      </c>
      <c r="H803" s="24">
        <v>442000.0</v>
      </c>
      <c r="I803" s="24">
        <v>25284.1</v>
      </c>
      <c r="J803" s="24">
        <v>692.99</v>
      </c>
      <c r="K803" s="22" t="s">
        <v>133</v>
      </c>
      <c r="L803" s="29">
        <v>11.0</v>
      </c>
      <c r="M803" s="22" t="s">
        <v>847</v>
      </c>
    </row>
    <row r="804" ht="15.75" customHeight="1">
      <c r="A804" s="22" t="s">
        <v>891</v>
      </c>
      <c r="B804" s="23">
        <v>46243.0</v>
      </c>
      <c r="C804" s="22" t="s">
        <v>38</v>
      </c>
      <c r="D804" s="22" t="s">
        <v>10</v>
      </c>
      <c r="E804" s="29">
        <v>605.0</v>
      </c>
      <c r="F804" s="24">
        <v>845.0</v>
      </c>
      <c r="G804" s="24">
        <v>845.0</v>
      </c>
      <c r="H804" s="24">
        <v>511225.0</v>
      </c>
      <c r="I804" s="24">
        <v>31163.26</v>
      </c>
      <c r="J804" s="24">
        <v>5885.65</v>
      </c>
      <c r="K804" s="22" t="s">
        <v>109</v>
      </c>
      <c r="L804" s="29">
        <v>19.0</v>
      </c>
      <c r="M804" s="22" t="s">
        <v>847</v>
      </c>
    </row>
    <row r="805" ht="15.75" customHeight="1">
      <c r="A805" s="22" t="s">
        <v>892</v>
      </c>
      <c r="B805" s="23">
        <v>46243.0</v>
      </c>
      <c r="C805" s="22" t="s">
        <v>38</v>
      </c>
      <c r="D805" s="22" t="s">
        <v>10</v>
      </c>
      <c r="E805" s="29">
        <v>517.0</v>
      </c>
      <c r="F805" s="24">
        <v>845.0</v>
      </c>
      <c r="G805" s="24">
        <v>845.0</v>
      </c>
      <c r="H805" s="24">
        <v>436865.0</v>
      </c>
      <c r="I805" s="24">
        <v>32365.53</v>
      </c>
      <c r="J805" s="24">
        <v>5651.19</v>
      </c>
      <c r="K805" s="22" t="s">
        <v>133</v>
      </c>
      <c r="L805" s="29">
        <v>18.0</v>
      </c>
      <c r="M805" s="22" t="s">
        <v>847</v>
      </c>
    </row>
    <row r="806" ht="15.75" customHeight="1">
      <c r="A806" s="22" t="s">
        <v>893</v>
      </c>
      <c r="B806" s="23">
        <v>46243.0</v>
      </c>
      <c r="C806" s="22" t="s">
        <v>38</v>
      </c>
      <c r="D806" s="22" t="s">
        <v>10</v>
      </c>
      <c r="E806" s="29">
        <v>216.0</v>
      </c>
      <c r="F806" s="24">
        <v>845.0</v>
      </c>
      <c r="G806" s="24">
        <v>845.0</v>
      </c>
      <c r="H806" s="24">
        <v>182520.0</v>
      </c>
      <c r="I806" s="24">
        <v>16121.12</v>
      </c>
      <c r="J806" s="24">
        <v>808.73</v>
      </c>
      <c r="K806" s="22" t="s">
        <v>133</v>
      </c>
      <c r="L806" s="29">
        <v>11.0</v>
      </c>
      <c r="M806" s="22" t="s">
        <v>847</v>
      </c>
    </row>
    <row r="807" ht="15.75" customHeight="1">
      <c r="A807" s="22" t="s">
        <v>894</v>
      </c>
      <c r="B807" s="23">
        <v>46243.0</v>
      </c>
      <c r="C807" s="22" t="s">
        <v>48</v>
      </c>
      <c r="D807" s="22" t="s">
        <v>49</v>
      </c>
      <c r="E807" s="29">
        <v>250.0</v>
      </c>
      <c r="F807" s="24">
        <v>240.0</v>
      </c>
      <c r="G807" s="24">
        <v>240.0</v>
      </c>
      <c r="H807" s="24">
        <v>60000.0</v>
      </c>
      <c r="I807" s="24">
        <v>4322.59</v>
      </c>
      <c r="J807" s="24">
        <v>0.0</v>
      </c>
      <c r="K807" s="22" t="s">
        <v>116</v>
      </c>
      <c r="L807" s="29">
        <v>6.0</v>
      </c>
      <c r="M807" s="22" t="s">
        <v>847</v>
      </c>
    </row>
    <row r="808" ht="15.75" customHeight="1">
      <c r="A808" s="22" t="s">
        <v>895</v>
      </c>
      <c r="B808" s="23">
        <v>46244.0</v>
      </c>
      <c r="C808" s="22" t="s">
        <v>48</v>
      </c>
      <c r="D808" s="22" t="s">
        <v>10</v>
      </c>
      <c r="E808" s="29">
        <v>274.0</v>
      </c>
      <c r="F808" s="24">
        <v>850.0</v>
      </c>
      <c r="G808" s="24">
        <v>850.0</v>
      </c>
      <c r="H808" s="24">
        <v>232900.0</v>
      </c>
      <c r="I808" s="24">
        <v>4599.72</v>
      </c>
      <c r="J808" s="24">
        <v>0.0</v>
      </c>
      <c r="K808" s="22" t="s">
        <v>116</v>
      </c>
      <c r="L808" s="29">
        <v>5.0</v>
      </c>
      <c r="M808" s="22" t="s">
        <v>847</v>
      </c>
    </row>
    <row r="809" ht="15.75" customHeight="1">
      <c r="A809" s="22" t="s">
        <v>896</v>
      </c>
      <c r="B809" s="23">
        <v>46244.0</v>
      </c>
      <c r="C809" s="22" t="s">
        <v>48</v>
      </c>
      <c r="D809" s="22" t="s">
        <v>49</v>
      </c>
      <c r="E809" s="29">
        <v>240.0</v>
      </c>
      <c r="F809" s="24">
        <v>240.0</v>
      </c>
      <c r="G809" s="24">
        <v>240.0</v>
      </c>
      <c r="H809" s="24">
        <v>57600.0</v>
      </c>
      <c r="I809" s="24">
        <v>2349.68</v>
      </c>
      <c r="J809" s="24">
        <v>613.06</v>
      </c>
      <c r="K809" s="22" t="s">
        <v>112</v>
      </c>
      <c r="L809" s="29">
        <v>7.0</v>
      </c>
      <c r="M809" s="22" t="s">
        <v>847</v>
      </c>
    </row>
    <row r="810" ht="15.75" customHeight="1">
      <c r="A810" s="22" t="s">
        <v>897</v>
      </c>
      <c r="B810" s="23">
        <v>46244.0</v>
      </c>
      <c r="C810" s="22" t="s">
        <v>48</v>
      </c>
      <c r="D810" s="22" t="s">
        <v>10</v>
      </c>
      <c r="E810" s="29">
        <v>317.0</v>
      </c>
      <c r="F810" s="24">
        <v>850.0</v>
      </c>
      <c r="G810" s="24">
        <v>850.0</v>
      </c>
      <c r="H810" s="24">
        <v>269450.0</v>
      </c>
      <c r="I810" s="24">
        <v>19383.93</v>
      </c>
      <c r="J810" s="24">
        <v>767.44</v>
      </c>
      <c r="K810" s="22" t="s">
        <v>112</v>
      </c>
      <c r="L810" s="29">
        <v>7.0</v>
      </c>
      <c r="M810" s="22" t="s">
        <v>847</v>
      </c>
    </row>
    <row r="811" ht="15.75" customHeight="1">
      <c r="A811" s="22" t="s">
        <v>898</v>
      </c>
      <c r="B811" s="23">
        <v>46244.0</v>
      </c>
      <c r="C811" s="22" t="s">
        <v>48</v>
      </c>
      <c r="D811" s="22" t="s">
        <v>49</v>
      </c>
      <c r="E811" s="29">
        <v>175.0</v>
      </c>
      <c r="F811" s="24">
        <v>240.0</v>
      </c>
      <c r="G811" s="24">
        <v>240.0</v>
      </c>
      <c r="H811" s="24">
        <v>42000.0</v>
      </c>
      <c r="I811" s="24">
        <v>1458.5</v>
      </c>
      <c r="J811" s="24">
        <v>0.0</v>
      </c>
      <c r="K811" s="22" t="s">
        <v>116</v>
      </c>
      <c r="L811" s="29">
        <v>6.0</v>
      </c>
      <c r="M811" s="22" t="s">
        <v>847</v>
      </c>
    </row>
    <row r="812" ht="15.75" customHeight="1">
      <c r="A812" s="22" t="s">
        <v>899</v>
      </c>
      <c r="B812" s="23">
        <v>46244.0</v>
      </c>
      <c r="C812" s="22" t="s">
        <v>38</v>
      </c>
      <c r="D812" s="22" t="s">
        <v>49</v>
      </c>
      <c r="E812" s="29">
        <v>623.0</v>
      </c>
      <c r="F812" s="24">
        <v>235.0</v>
      </c>
      <c r="G812" s="24">
        <v>235.0</v>
      </c>
      <c r="H812" s="24">
        <v>146405.0</v>
      </c>
      <c r="I812" s="24">
        <v>12905.61</v>
      </c>
      <c r="J812" s="24">
        <v>0.0</v>
      </c>
      <c r="K812" s="22" t="s">
        <v>116</v>
      </c>
      <c r="L812" s="29">
        <v>14.0</v>
      </c>
      <c r="M812" s="22" t="s">
        <v>847</v>
      </c>
    </row>
    <row r="813" ht="15.75" customHeight="1">
      <c r="A813" s="22" t="s">
        <v>900</v>
      </c>
      <c r="B813" s="23">
        <v>46244.0</v>
      </c>
      <c r="C813" s="22" t="s">
        <v>56</v>
      </c>
      <c r="D813" s="22" t="s">
        <v>10</v>
      </c>
      <c r="E813" s="29">
        <v>954.0</v>
      </c>
      <c r="F813" s="24">
        <v>820.0</v>
      </c>
      <c r="G813" s="24">
        <v>820.0</v>
      </c>
      <c r="H813" s="24">
        <v>782280.0</v>
      </c>
      <c r="I813" s="24">
        <v>15568.51</v>
      </c>
      <c r="J813" s="24">
        <v>6769.55</v>
      </c>
      <c r="K813" s="22" t="s">
        <v>109</v>
      </c>
      <c r="L813" s="29">
        <v>21.0</v>
      </c>
      <c r="M813" s="22" t="s">
        <v>847</v>
      </c>
    </row>
    <row r="814" ht="15.75" customHeight="1">
      <c r="A814" s="22" t="s">
        <v>901</v>
      </c>
      <c r="B814" s="23">
        <v>46244.0</v>
      </c>
      <c r="C814" s="22" t="s">
        <v>38</v>
      </c>
      <c r="D814" s="22" t="s">
        <v>49</v>
      </c>
      <c r="E814" s="29">
        <v>928.0</v>
      </c>
      <c r="F814" s="24">
        <v>235.0</v>
      </c>
      <c r="G814" s="24">
        <v>235.0</v>
      </c>
      <c r="H814" s="24">
        <v>218080.0</v>
      </c>
      <c r="I814" s="24">
        <v>16204.15</v>
      </c>
      <c r="J814" s="24">
        <v>0.0</v>
      </c>
      <c r="K814" s="22" t="s">
        <v>116</v>
      </c>
      <c r="L814" s="29">
        <v>31.0</v>
      </c>
      <c r="M814" s="22" t="s">
        <v>847</v>
      </c>
    </row>
    <row r="815" ht="15.75" customHeight="1">
      <c r="A815" s="22" t="s">
        <v>902</v>
      </c>
      <c r="B815" s="23">
        <v>46245.0</v>
      </c>
      <c r="C815" s="22" t="s">
        <v>38</v>
      </c>
      <c r="D815" s="22" t="s">
        <v>49</v>
      </c>
      <c r="E815" s="29">
        <v>773.0</v>
      </c>
      <c r="F815" s="24">
        <v>235.0</v>
      </c>
      <c r="G815" s="24">
        <v>235.0</v>
      </c>
      <c r="H815" s="24">
        <v>181655.0</v>
      </c>
      <c r="I815" s="24">
        <v>12482.6</v>
      </c>
      <c r="J815" s="24">
        <v>0.0</v>
      </c>
      <c r="K815" s="22" t="s">
        <v>116</v>
      </c>
      <c r="L815" s="29">
        <v>25.0</v>
      </c>
      <c r="M815" s="22" t="s">
        <v>847</v>
      </c>
    </row>
    <row r="816" ht="15.75" customHeight="1">
      <c r="A816" s="22" t="s">
        <v>903</v>
      </c>
      <c r="B816" s="23">
        <v>46245.0</v>
      </c>
      <c r="C816" s="22" t="s">
        <v>48</v>
      </c>
      <c r="D816" s="22" t="s">
        <v>49</v>
      </c>
      <c r="E816" s="29">
        <v>315.0</v>
      </c>
      <c r="F816" s="24">
        <v>240.0</v>
      </c>
      <c r="G816" s="24">
        <v>240.0</v>
      </c>
      <c r="H816" s="24">
        <v>75600.0</v>
      </c>
      <c r="I816" s="24">
        <v>2607.1</v>
      </c>
      <c r="J816" s="24">
        <v>504.66</v>
      </c>
      <c r="K816" s="22" t="s">
        <v>109</v>
      </c>
      <c r="L816" s="29">
        <v>7.0</v>
      </c>
      <c r="M816" s="22" t="s">
        <v>847</v>
      </c>
    </row>
    <row r="817" ht="15.75" customHeight="1">
      <c r="A817" s="22" t="s">
        <v>904</v>
      </c>
      <c r="B817" s="23">
        <v>46247.0</v>
      </c>
      <c r="C817" s="22" t="s">
        <v>56</v>
      </c>
      <c r="D817" s="22" t="s">
        <v>10</v>
      </c>
      <c r="E817" s="29">
        <v>153.0</v>
      </c>
      <c r="F817" s="24">
        <v>820.0</v>
      </c>
      <c r="G817" s="24">
        <v>820.0</v>
      </c>
      <c r="H817" s="24">
        <v>125460.0</v>
      </c>
      <c r="I817" s="24">
        <v>3749.3</v>
      </c>
      <c r="J817" s="24">
        <v>1087.18</v>
      </c>
      <c r="K817" s="22" t="s">
        <v>109</v>
      </c>
      <c r="L817" s="29">
        <v>4.0</v>
      </c>
      <c r="M817" s="22" t="s">
        <v>847</v>
      </c>
    </row>
    <row r="818" ht="15.75" customHeight="1">
      <c r="A818" s="22" t="s">
        <v>905</v>
      </c>
      <c r="B818" s="23">
        <v>46247.0</v>
      </c>
      <c r="C818" s="22" t="s">
        <v>38</v>
      </c>
      <c r="D818" s="22" t="s">
        <v>49</v>
      </c>
      <c r="E818" s="29">
        <v>217.0</v>
      </c>
      <c r="F818" s="24">
        <v>235.0</v>
      </c>
      <c r="G818" s="24">
        <v>235.0</v>
      </c>
      <c r="H818" s="24">
        <v>50995.0</v>
      </c>
      <c r="I818" s="24">
        <v>4541.74</v>
      </c>
      <c r="J818" s="24">
        <v>479.32</v>
      </c>
      <c r="K818" s="22" t="s">
        <v>114</v>
      </c>
      <c r="L818" s="29">
        <v>7.0</v>
      </c>
      <c r="M818" s="22" t="s">
        <v>847</v>
      </c>
    </row>
    <row r="819" ht="15.75" customHeight="1">
      <c r="A819" s="22" t="s">
        <v>906</v>
      </c>
      <c r="B819" s="23">
        <v>46247.0</v>
      </c>
      <c r="C819" s="22" t="s">
        <v>48</v>
      </c>
      <c r="D819" s="22" t="s">
        <v>49</v>
      </c>
      <c r="E819" s="29">
        <v>157.0</v>
      </c>
      <c r="F819" s="24">
        <v>240.0</v>
      </c>
      <c r="G819" s="24">
        <v>240.0</v>
      </c>
      <c r="H819" s="24">
        <v>37680.0</v>
      </c>
      <c r="I819" s="24">
        <v>1788.81</v>
      </c>
      <c r="J819" s="24">
        <v>419.06</v>
      </c>
      <c r="K819" s="22" t="s">
        <v>114</v>
      </c>
      <c r="L819" s="29">
        <v>9.0</v>
      </c>
      <c r="M819" s="22" t="s">
        <v>847</v>
      </c>
    </row>
    <row r="820" ht="15.75" customHeight="1">
      <c r="A820" s="22" t="s">
        <v>907</v>
      </c>
      <c r="B820" s="23">
        <v>46248.0</v>
      </c>
      <c r="C820" s="22" t="s">
        <v>48</v>
      </c>
      <c r="D820" s="22" t="s">
        <v>49</v>
      </c>
      <c r="E820" s="29">
        <v>159.0</v>
      </c>
      <c r="F820" s="24">
        <v>240.0</v>
      </c>
      <c r="G820" s="24">
        <v>240.0</v>
      </c>
      <c r="H820" s="24">
        <v>38160.0</v>
      </c>
      <c r="I820" s="24">
        <v>1094.47</v>
      </c>
      <c r="J820" s="24">
        <v>274.78</v>
      </c>
      <c r="K820" s="22" t="s">
        <v>109</v>
      </c>
      <c r="L820" s="29">
        <v>4.0</v>
      </c>
      <c r="M820" s="22" t="s">
        <v>847</v>
      </c>
    </row>
    <row r="821" ht="15.75" customHeight="1">
      <c r="A821" s="22" t="s">
        <v>908</v>
      </c>
      <c r="B821" s="23">
        <v>46248.0</v>
      </c>
      <c r="C821" s="22" t="s">
        <v>48</v>
      </c>
      <c r="D821" s="22" t="s">
        <v>49</v>
      </c>
      <c r="E821" s="29">
        <v>253.0</v>
      </c>
      <c r="F821" s="24">
        <v>240.0</v>
      </c>
      <c r="G821" s="24">
        <v>240.0</v>
      </c>
      <c r="H821" s="24">
        <v>60720.0</v>
      </c>
      <c r="I821" s="24">
        <v>4540.53</v>
      </c>
      <c r="J821" s="24">
        <v>239.5</v>
      </c>
      <c r="K821" s="22" t="s">
        <v>112</v>
      </c>
      <c r="L821" s="29">
        <v>8.0</v>
      </c>
      <c r="M821" s="22" t="s">
        <v>847</v>
      </c>
    </row>
    <row r="822" ht="15.75" customHeight="1">
      <c r="A822" s="22" t="s">
        <v>909</v>
      </c>
      <c r="B822" s="23">
        <v>46249.0</v>
      </c>
      <c r="C822" s="22" t="s">
        <v>38</v>
      </c>
      <c r="D822" s="22" t="s">
        <v>49</v>
      </c>
      <c r="E822" s="29">
        <v>124.0</v>
      </c>
      <c r="F822" s="24">
        <v>235.0</v>
      </c>
      <c r="G822" s="24">
        <v>235.0</v>
      </c>
      <c r="H822" s="24">
        <v>29140.0</v>
      </c>
      <c r="I822" s="24">
        <v>2107.32</v>
      </c>
      <c r="J822" s="24">
        <v>42.58</v>
      </c>
      <c r="K822" s="22" t="s">
        <v>114</v>
      </c>
      <c r="L822" s="29">
        <v>2.0</v>
      </c>
      <c r="M822" s="22" t="s">
        <v>847</v>
      </c>
    </row>
    <row r="823" ht="15.75" customHeight="1">
      <c r="A823" s="22" t="s">
        <v>910</v>
      </c>
      <c r="B823" s="23">
        <v>46249.0</v>
      </c>
      <c r="C823" s="22" t="s">
        <v>38</v>
      </c>
      <c r="D823" s="22" t="s">
        <v>49</v>
      </c>
      <c r="E823" s="29">
        <v>201.0</v>
      </c>
      <c r="F823" s="24">
        <v>235.0</v>
      </c>
      <c r="G823" s="24">
        <v>235.0</v>
      </c>
      <c r="H823" s="24">
        <v>47235.0</v>
      </c>
      <c r="I823" s="24">
        <v>1657.6</v>
      </c>
      <c r="J823" s="24">
        <v>301.67</v>
      </c>
      <c r="K823" s="22" t="s">
        <v>112</v>
      </c>
      <c r="L823" s="29">
        <v>7.0</v>
      </c>
      <c r="M823" s="22" t="s">
        <v>847</v>
      </c>
    </row>
    <row r="824" ht="15.75" customHeight="1">
      <c r="A824" s="22" t="s">
        <v>911</v>
      </c>
      <c r="B824" s="23">
        <v>46250.0</v>
      </c>
      <c r="C824" s="22" t="s">
        <v>38</v>
      </c>
      <c r="D824" s="22" t="s">
        <v>10</v>
      </c>
      <c r="E824" s="29">
        <v>326.0</v>
      </c>
      <c r="F824" s="24">
        <v>845.0</v>
      </c>
      <c r="G824" s="24">
        <v>845.0</v>
      </c>
      <c r="H824" s="24">
        <v>275470.0</v>
      </c>
      <c r="I824" s="24">
        <v>23943.61</v>
      </c>
      <c r="J824" s="24">
        <v>0.0</v>
      </c>
      <c r="K824" s="22" t="s">
        <v>116</v>
      </c>
      <c r="L824" s="29">
        <v>10.0</v>
      </c>
      <c r="M824" s="22" t="s">
        <v>847</v>
      </c>
    </row>
    <row r="825" ht="15.75" customHeight="1">
      <c r="A825" s="22" t="s">
        <v>912</v>
      </c>
      <c r="B825" s="23">
        <v>46250.0</v>
      </c>
      <c r="C825" s="22" t="s">
        <v>38</v>
      </c>
      <c r="D825" s="22" t="s">
        <v>49</v>
      </c>
      <c r="E825" s="29">
        <v>1299.0</v>
      </c>
      <c r="F825" s="24">
        <v>235.0</v>
      </c>
      <c r="G825" s="24">
        <v>235.0</v>
      </c>
      <c r="H825" s="24">
        <v>305265.0</v>
      </c>
      <c r="I825" s="24">
        <v>12676.49</v>
      </c>
      <c r="J825" s="24">
        <v>4156.14</v>
      </c>
      <c r="K825" s="22" t="s">
        <v>133</v>
      </c>
      <c r="L825" s="29">
        <v>40.0</v>
      </c>
      <c r="M825" s="22" t="s">
        <v>847</v>
      </c>
    </row>
    <row r="826" ht="15.75" customHeight="1">
      <c r="A826" s="22" t="s">
        <v>913</v>
      </c>
      <c r="B826" s="23">
        <v>46250.0</v>
      </c>
      <c r="C826" s="22" t="s">
        <v>38</v>
      </c>
      <c r="D826" s="22" t="s">
        <v>10</v>
      </c>
      <c r="E826" s="29">
        <v>729.0</v>
      </c>
      <c r="F826" s="24">
        <v>845.0</v>
      </c>
      <c r="G826" s="24">
        <v>845.0</v>
      </c>
      <c r="H826" s="24">
        <v>616005.0</v>
      </c>
      <c r="I826" s="24">
        <v>58996.18</v>
      </c>
      <c r="J826" s="24">
        <v>0.0</v>
      </c>
      <c r="K826" s="22" t="s">
        <v>116</v>
      </c>
      <c r="L826" s="29">
        <v>22.0</v>
      </c>
      <c r="M826" s="22" t="s">
        <v>847</v>
      </c>
    </row>
    <row r="827" ht="15.75" customHeight="1">
      <c r="A827" s="22" t="s">
        <v>914</v>
      </c>
      <c r="B827" s="23">
        <v>46251.0</v>
      </c>
      <c r="C827" s="22" t="s">
        <v>48</v>
      </c>
      <c r="D827" s="22" t="s">
        <v>10</v>
      </c>
      <c r="E827" s="29">
        <v>464.0</v>
      </c>
      <c r="F827" s="24">
        <v>850.0</v>
      </c>
      <c r="G827" s="24">
        <v>850.0</v>
      </c>
      <c r="H827" s="24">
        <v>394400.0</v>
      </c>
      <c r="I827" s="24">
        <v>23433.4</v>
      </c>
      <c r="J827" s="24">
        <v>2655.75</v>
      </c>
      <c r="K827" s="22" t="s">
        <v>114</v>
      </c>
      <c r="L827" s="29">
        <v>9.0</v>
      </c>
      <c r="M827" s="22" t="s">
        <v>847</v>
      </c>
    </row>
    <row r="828" ht="15.75" customHeight="1">
      <c r="A828" s="22" t="s">
        <v>915</v>
      </c>
      <c r="B828" s="23">
        <v>46251.0</v>
      </c>
      <c r="C828" s="22" t="s">
        <v>48</v>
      </c>
      <c r="D828" s="22" t="s">
        <v>49</v>
      </c>
      <c r="E828" s="29">
        <v>987.0</v>
      </c>
      <c r="F828" s="24">
        <v>240.0</v>
      </c>
      <c r="G828" s="24">
        <v>240.0</v>
      </c>
      <c r="H828" s="24">
        <v>236880.0</v>
      </c>
      <c r="I828" s="24">
        <v>10169.98</v>
      </c>
      <c r="J828" s="24">
        <v>240.73</v>
      </c>
      <c r="K828" s="22" t="s">
        <v>114</v>
      </c>
      <c r="L828" s="29">
        <v>25.0</v>
      </c>
      <c r="M828" s="22" t="s">
        <v>847</v>
      </c>
    </row>
    <row r="829" ht="15.75" customHeight="1">
      <c r="A829" s="22" t="s">
        <v>916</v>
      </c>
      <c r="B829" s="23">
        <v>46251.0</v>
      </c>
      <c r="C829" s="22" t="s">
        <v>48</v>
      </c>
      <c r="D829" s="22" t="s">
        <v>10</v>
      </c>
      <c r="E829" s="29">
        <v>316.0</v>
      </c>
      <c r="F829" s="24">
        <v>850.0</v>
      </c>
      <c r="G829" s="24">
        <v>850.0</v>
      </c>
      <c r="H829" s="24">
        <v>268600.0</v>
      </c>
      <c r="I829" s="24">
        <v>20645.24</v>
      </c>
      <c r="J829" s="24">
        <v>4499.58</v>
      </c>
      <c r="K829" s="22" t="s">
        <v>109</v>
      </c>
      <c r="L829" s="29">
        <v>7.0</v>
      </c>
      <c r="M829" s="22" t="s">
        <v>847</v>
      </c>
    </row>
    <row r="830" ht="15.75" customHeight="1">
      <c r="A830" s="22" t="s">
        <v>47</v>
      </c>
      <c r="B830" s="23">
        <v>46251.0</v>
      </c>
      <c r="C830" s="22" t="s">
        <v>48</v>
      </c>
      <c r="D830" s="22" t="s">
        <v>49</v>
      </c>
      <c r="E830" s="29">
        <v>1566.0</v>
      </c>
      <c r="F830" s="24">
        <v>240.0</v>
      </c>
      <c r="G830" s="24">
        <v>240.0</v>
      </c>
      <c r="H830" s="24">
        <v>375840.0</v>
      </c>
      <c r="I830" s="24">
        <v>19368.55</v>
      </c>
      <c r="J830" s="24">
        <v>203963.81</v>
      </c>
      <c r="K830" s="22" t="s">
        <v>917</v>
      </c>
      <c r="L830" s="29">
        <v>49.0</v>
      </c>
      <c r="M830" s="22" t="s">
        <v>847</v>
      </c>
    </row>
    <row r="831" ht="15.75" customHeight="1">
      <c r="A831" s="22" t="s">
        <v>918</v>
      </c>
      <c r="B831" s="23">
        <v>46252.0</v>
      </c>
      <c r="C831" s="22" t="s">
        <v>38</v>
      </c>
      <c r="D831" s="22" t="s">
        <v>10</v>
      </c>
      <c r="E831" s="29">
        <v>153.0</v>
      </c>
      <c r="F831" s="24">
        <v>845.0</v>
      </c>
      <c r="G831" s="24">
        <v>845.0</v>
      </c>
      <c r="H831" s="24">
        <v>129285.0</v>
      </c>
      <c r="I831" s="24">
        <v>5210.55</v>
      </c>
      <c r="J831" s="24">
        <v>404.16</v>
      </c>
      <c r="K831" s="22" t="s">
        <v>109</v>
      </c>
      <c r="L831" s="29">
        <v>5.0</v>
      </c>
      <c r="M831" s="22" t="s">
        <v>847</v>
      </c>
    </row>
    <row r="832" ht="15.75" customHeight="1">
      <c r="A832" s="22" t="s">
        <v>919</v>
      </c>
      <c r="B832" s="23">
        <v>46252.0</v>
      </c>
      <c r="C832" s="22" t="s">
        <v>48</v>
      </c>
      <c r="D832" s="22" t="s">
        <v>49</v>
      </c>
      <c r="E832" s="29">
        <v>253.0</v>
      </c>
      <c r="F832" s="24">
        <v>240.0</v>
      </c>
      <c r="G832" s="24">
        <v>240.0</v>
      </c>
      <c r="H832" s="24">
        <v>60720.0</v>
      </c>
      <c r="I832" s="24">
        <v>1004.48</v>
      </c>
      <c r="J832" s="24">
        <v>0.0</v>
      </c>
      <c r="K832" s="22" t="s">
        <v>116</v>
      </c>
      <c r="L832" s="29">
        <v>4.0</v>
      </c>
      <c r="M832" s="22" t="s">
        <v>847</v>
      </c>
    </row>
    <row r="833" ht="15.75" customHeight="1">
      <c r="A833" s="22" t="s">
        <v>920</v>
      </c>
      <c r="B833" s="23">
        <v>46252.0</v>
      </c>
      <c r="C833" s="22" t="s">
        <v>48</v>
      </c>
      <c r="D833" s="22" t="s">
        <v>49</v>
      </c>
      <c r="E833" s="29">
        <v>169.0</v>
      </c>
      <c r="F833" s="24">
        <v>240.0</v>
      </c>
      <c r="G833" s="24">
        <v>240.0</v>
      </c>
      <c r="H833" s="24">
        <v>40560.0</v>
      </c>
      <c r="I833" s="24">
        <v>1411.03</v>
      </c>
      <c r="J833" s="24">
        <v>499.33</v>
      </c>
      <c r="K833" s="22" t="s">
        <v>133</v>
      </c>
      <c r="L833" s="29">
        <v>3.0</v>
      </c>
      <c r="M833" s="22" t="s">
        <v>847</v>
      </c>
    </row>
    <row r="834" ht="15.75" customHeight="1">
      <c r="A834" s="22" t="s">
        <v>921</v>
      </c>
      <c r="B834" s="23">
        <v>46252.0</v>
      </c>
      <c r="C834" s="22" t="s">
        <v>48</v>
      </c>
      <c r="D834" s="22" t="s">
        <v>49</v>
      </c>
      <c r="E834" s="29">
        <v>154.0</v>
      </c>
      <c r="F834" s="24">
        <v>240.0</v>
      </c>
      <c r="G834" s="24">
        <v>240.0</v>
      </c>
      <c r="H834" s="24">
        <v>36960.0</v>
      </c>
      <c r="I834" s="24">
        <v>961.72</v>
      </c>
      <c r="J834" s="24">
        <v>109.58</v>
      </c>
      <c r="K834" s="22" t="s">
        <v>133</v>
      </c>
      <c r="L834" s="29">
        <v>6.0</v>
      </c>
      <c r="M834" s="22" t="s">
        <v>847</v>
      </c>
    </row>
    <row r="835" ht="15.75" customHeight="1">
      <c r="A835" s="22" t="s">
        <v>922</v>
      </c>
      <c r="B835" s="23">
        <v>46253.0</v>
      </c>
      <c r="C835" s="22" t="s">
        <v>56</v>
      </c>
      <c r="D835" s="22" t="s">
        <v>49</v>
      </c>
      <c r="E835" s="29">
        <v>171.0</v>
      </c>
      <c r="F835" s="24">
        <v>230.0</v>
      </c>
      <c r="G835" s="24">
        <v>230.0</v>
      </c>
      <c r="H835" s="24">
        <v>39330.0</v>
      </c>
      <c r="I835" s="24">
        <v>1211.78</v>
      </c>
      <c r="J835" s="24">
        <v>156.82</v>
      </c>
      <c r="K835" s="22" t="s">
        <v>112</v>
      </c>
      <c r="L835" s="29">
        <v>4.0</v>
      </c>
      <c r="M835" s="22" t="s">
        <v>847</v>
      </c>
    </row>
    <row r="836" ht="15.75" customHeight="1">
      <c r="A836" s="22" t="s">
        <v>923</v>
      </c>
      <c r="B836" s="23">
        <v>46253.0</v>
      </c>
      <c r="C836" s="22" t="s">
        <v>48</v>
      </c>
      <c r="D836" s="22" t="s">
        <v>108</v>
      </c>
      <c r="E836" s="29">
        <v>119.0</v>
      </c>
      <c r="F836" s="24">
        <v>1300.0</v>
      </c>
      <c r="G836" s="24">
        <v>1300.0</v>
      </c>
      <c r="H836" s="24">
        <v>154700.0</v>
      </c>
      <c r="I836" s="24">
        <v>7709.86</v>
      </c>
      <c r="J836" s="24">
        <v>847.65</v>
      </c>
      <c r="K836" s="22" t="s">
        <v>114</v>
      </c>
      <c r="L836" s="29">
        <v>1.0</v>
      </c>
      <c r="M836" s="22" t="s">
        <v>847</v>
      </c>
    </row>
    <row r="837" ht="15.75" customHeight="1">
      <c r="A837" s="22" t="s">
        <v>924</v>
      </c>
      <c r="B837" s="23">
        <v>46253.0</v>
      </c>
      <c r="C837" s="22" t="s">
        <v>48</v>
      </c>
      <c r="D837" s="22" t="s">
        <v>10</v>
      </c>
      <c r="E837" s="29">
        <v>595.0</v>
      </c>
      <c r="F837" s="24">
        <v>850.0</v>
      </c>
      <c r="G837" s="24">
        <v>850.0</v>
      </c>
      <c r="H837" s="24">
        <v>505750.0</v>
      </c>
      <c r="I837" s="24">
        <v>20818.54</v>
      </c>
      <c r="J837" s="24">
        <v>0.0</v>
      </c>
      <c r="K837" s="22" t="s">
        <v>116</v>
      </c>
      <c r="L837" s="29">
        <v>10.0</v>
      </c>
      <c r="M837" s="22" t="s">
        <v>847</v>
      </c>
    </row>
    <row r="838" ht="15.75" customHeight="1">
      <c r="A838" s="22" t="s">
        <v>925</v>
      </c>
      <c r="B838" s="23">
        <v>46253.0</v>
      </c>
      <c r="C838" s="22" t="s">
        <v>48</v>
      </c>
      <c r="D838" s="22" t="s">
        <v>49</v>
      </c>
      <c r="E838" s="29">
        <v>137.0</v>
      </c>
      <c r="F838" s="24">
        <v>240.0</v>
      </c>
      <c r="G838" s="24">
        <v>240.0</v>
      </c>
      <c r="H838" s="24">
        <v>32880.0</v>
      </c>
      <c r="I838" s="24">
        <v>739.23</v>
      </c>
      <c r="J838" s="24">
        <v>359.53</v>
      </c>
      <c r="K838" s="22" t="s">
        <v>133</v>
      </c>
      <c r="L838" s="29">
        <v>5.0</v>
      </c>
      <c r="M838" s="22" t="s">
        <v>847</v>
      </c>
    </row>
    <row r="839" ht="15.75" customHeight="1">
      <c r="A839" s="22" t="s">
        <v>926</v>
      </c>
      <c r="B839" s="23">
        <v>46253.0</v>
      </c>
      <c r="C839" s="22" t="s">
        <v>38</v>
      </c>
      <c r="D839" s="22" t="s">
        <v>49</v>
      </c>
      <c r="E839" s="29">
        <v>283.0</v>
      </c>
      <c r="F839" s="24">
        <v>235.0</v>
      </c>
      <c r="G839" s="24">
        <v>235.0</v>
      </c>
      <c r="H839" s="24">
        <v>66505.0</v>
      </c>
      <c r="I839" s="24">
        <v>3854.06</v>
      </c>
      <c r="J839" s="24">
        <v>0.0</v>
      </c>
      <c r="K839" s="22" t="s">
        <v>116</v>
      </c>
      <c r="L839" s="29">
        <v>9.0</v>
      </c>
      <c r="M839" s="22" t="s">
        <v>847</v>
      </c>
    </row>
    <row r="840" ht="15.75" customHeight="1">
      <c r="A840" s="22" t="s">
        <v>927</v>
      </c>
      <c r="B840" s="23">
        <v>46254.0</v>
      </c>
      <c r="C840" s="22" t="s">
        <v>48</v>
      </c>
      <c r="D840" s="22" t="s">
        <v>10</v>
      </c>
      <c r="E840" s="29">
        <v>653.0</v>
      </c>
      <c r="F840" s="24">
        <v>850.0</v>
      </c>
      <c r="G840" s="24">
        <v>850.0</v>
      </c>
      <c r="H840" s="24">
        <v>555050.0</v>
      </c>
      <c r="I840" s="24">
        <v>15983.67</v>
      </c>
      <c r="J840" s="24">
        <v>3547.42</v>
      </c>
      <c r="K840" s="22" t="s">
        <v>112</v>
      </c>
      <c r="L840" s="29">
        <v>17.0</v>
      </c>
      <c r="M840" s="22" t="s">
        <v>847</v>
      </c>
    </row>
    <row r="841" ht="15.75" customHeight="1">
      <c r="A841" s="22" t="s">
        <v>928</v>
      </c>
      <c r="B841" s="23">
        <v>46254.0</v>
      </c>
      <c r="C841" s="22" t="s">
        <v>48</v>
      </c>
      <c r="D841" s="22" t="s">
        <v>108</v>
      </c>
      <c r="E841" s="29">
        <v>281.0</v>
      </c>
      <c r="F841" s="24">
        <v>1300.0</v>
      </c>
      <c r="G841" s="24">
        <v>1300.0</v>
      </c>
      <c r="H841" s="24">
        <v>365300.0</v>
      </c>
      <c r="I841" s="24">
        <v>26691.82</v>
      </c>
      <c r="J841" s="24">
        <v>0.0</v>
      </c>
      <c r="K841" s="22" t="s">
        <v>116</v>
      </c>
      <c r="L841" s="29">
        <v>5.0</v>
      </c>
      <c r="M841" s="22" t="s">
        <v>847</v>
      </c>
    </row>
    <row r="842" ht="15.75" customHeight="1">
      <c r="A842" s="22" t="s">
        <v>929</v>
      </c>
      <c r="B842" s="23">
        <v>46255.0</v>
      </c>
      <c r="C842" s="22" t="s">
        <v>48</v>
      </c>
      <c r="D842" s="22" t="s">
        <v>10</v>
      </c>
      <c r="E842" s="29">
        <v>894.0</v>
      </c>
      <c r="F842" s="24">
        <v>850.0</v>
      </c>
      <c r="G842" s="24">
        <v>850.0</v>
      </c>
      <c r="H842" s="24">
        <v>759900.0</v>
      </c>
      <c r="I842" s="24">
        <v>26268.87</v>
      </c>
      <c r="J842" s="24">
        <v>10648.45</v>
      </c>
      <c r="K842" s="22" t="s">
        <v>133</v>
      </c>
      <c r="L842" s="29">
        <v>13.0</v>
      </c>
      <c r="M842" s="22" t="s">
        <v>847</v>
      </c>
    </row>
    <row r="843" ht="15.75" customHeight="1">
      <c r="A843" s="22" t="s">
        <v>930</v>
      </c>
      <c r="B843" s="23">
        <v>46255.0</v>
      </c>
      <c r="C843" s="22" t="s">
        <v>56</v>
      </c>
      <c r="D843" s="22" t="s">
        <v>49</v>
      </c>
      <c r="E843" s="29">
        <v>610.0</v>
      </c>
      <c r="F843" s="24">
        <v>230.0</v>
      </c>
      <c r="G843" s="24">
        <v>230.0</v>
      </c>
      <c r="H843" s="24">
        <v>140300.0</v>
      </c>
      <c r="I843" s="24">
        <v>4212.96</v>
      </c>
      <c r="J843" s="24">
        <v>1002.2</v>
      </c>
      <c r="K843" s="22" t="s">
        <v>109</v>
      </c>
      <c r="L843" s="29">
        <v>37.0</v>
      </c>
      <c r="M843" s="22" t="s">
        <v>847</v>
      </c>
    </row>
    <row r="844" ht="15.75" customHeight="1">
      <c r="A844" s="22" t="s">
        <v>931</v>
      </c>
      <c r="B844" s="23">
        <v>46255.0</v>
      </c>
      <c r="C844" s="22" t="s">
        <v>38</v>
      </c>
      <c r="D844" s="22" t="s">
        <v>49</v>
      </c>
      <c r="E844" s="29">
        <v>1036.0</v>
      </c>
      <c r="F844" s="24">
        <v>235.0</v>
      </c>
      <c r="G844" s="24">
        <v>235.0</v>
      </c>
      <c r="H844" s="24">
        <v>243460.0</v>
      </c>
      <c r="I844" s="24">
        <v>17650.57</v>
      </c>
      <c r="J844" s="24">
        <v>0.0</v>
      </c>
      <c r="K844" s="22" t="s">
        <v>116</v>
      </c>
      <c r="L844" s="29">
        <v>30.0</v>
      </c>
      <c r="M844" s="22" t="s">
        <v>847</v>
      </c>
    </row>
    <row r="845" ht="15.75" customHeight="1">
      <c r="A845" s="22" t="s">
        <v>932</v>
      </c>
      <c r="B845" s="23">
        <v>46255.0</v>
      </c>
      <c r="C845" s="22" t="s">
        <v>38</v>
      </c>
      <c r="D845" s="22" t="s">
        <v>49</v>
      </c>
      <c r="E845" s="29">
        <v>163.0</v>
      </c>
      <c r="F845" s="24">
        <v>235.0</v>
      </c>
      <c r="G845" s="24">
        <v>235.0</v>
      </c>
      <c r="H845" s="24">
        <v>38305.0</v>
      </c>
      <c r="I845" s="24">
        <v>1645.5</v>
      </c>
      <c r="J845" s="24">
        <v>166.46</v>
      </c>
      <c r="K845" s="22" t="s">
        <v>114</v>
      </c>
      <c r="L845" s="29">
        <v>5.0</v>
      </c>
      <c r="M845" s="22" t="s">
        <v>847</v>
      </c>
    </row>
    <row r="846" ht="15.75" customHeight="1">
      <c r="A846" s="22" t="s">
        <v>933</v>
      </c>
      <c r="B846" s="23">
        <v>46256.0</v>
      </c>
      <c r="C846" s="22" t="s">
        <v>48</v>
      </c>
      <c r="D846" s="22" t="s">
        <v>49</v>
      </c>
      <c r="E846" s="29">
        <v>483.0</v>
      </c>
      <c r="F846" s="24">
        <v>240.0</v>
      </c>
      <c r="G846" s="24">
        <v>240.0</v>
      </c>
      <c r="H846" s="24">
        <v>115920.0</v>
      </c>
      <c r="I846" s="24">
        <v>5167.4</v>
      </c>
      <c r="J846" s="24">
        <v>0.0</v>
      </c>
      <c r="K846" s="22" t="s">
        <v>116</v>
      </c>
      <c r="L846" s="29">
        <v>6.0</v>
      </c>
      <c r="M846" s="22" t="s">
        <v>847</v>
      </c>
    </row>
    <row r="847" ht="15.75" customHeight="1">
      <c r="A847" s="22" t="s">
        <v>934</v>
      </c>
      <c r="B847" s="23">
        <v>46256.0</v>
      </c>
      <c r="C847" s="22" t="s">
        <v>48</v>
      </c>
      <c r="D847" s="22" t="s">
        <v>49</v>
      </c>
      <c r="E847" s="29">
        <v>186.0</v>
      </c>
      <c r="F847" s="24">
        <v>240.0</v>
      </c>
      <c r="G847" s="24">
        <v>240.0</v>
      </c>
      <c r="H847" s="24">
        <v>44640.0</v>
      </c>
      <c r="I847" s="24">
        <v>1222.67</v>
      </c>
      <c r="J847" s="24">
        <v>568.22</v>
      </c>
      <c r="K847" s="22" t="s">
        <v>133</v>
      </c>
      <c r="L847" s="29">
        <v>2.0</v>
      </c>
      <c r="M847" s="22" t="s">
        <v>847</v>
      </c>
    </row>
    <row r="848" ht="15.75" customHeight="1">
      <c r="A848" s="22" t="s">
        <v>935</v>
      </c>
      <c r="B848" s="23">
        <v>46256.0</v>
      </c>
      <c r="C848" s="22" t="s">
        <v>38</v>
      </c>
      <c r="D848" s="22" t="s">
        <v>10</v>
      </c>
      <c r="E848" s="29">
        <v>132.0</v>
      </c>
      <c r="F848" s="24">
        <v>845.0</v>
      </c>
      <c r="G848" s="24">
        <v>845.0</v>
      </c>
      <c r="H848" s="24">
        <v>111540.0</v>
      </c>
      <c r="I848" s="24">
        <v>6272.59</v>
      </c>
      <c r="J848" s="24">
        <v>625.15</v>
      </c>
      <c r="K848" s="22" t="s">
        <v>133</v>
      </c>
      <c r="L848" s="29">
        <v>3.0</v>
      </c>
      <c r="M848" s="22" t="s">
        <v>847</v>
      </c>
    </row>
    <row r="849" ht="15.75" customHeight="1">
      <c r="A849" s="22" t="s">
        <v>936</v>
      </c>
      <c r="B849" s="23">
        <v>46257.0</v>
      </c>
      <c r="C849" s="22" t="s">
        <v>38</v>
      </c>
      <c r="D849" s="22" t="s">
        <v>49</v>
      </c>
      <c r="E849" s="29">
        <v>195.0</v>
      </c>
      <c r="F849" s="24">
        <v>235.0</v>
      </c>
      <c r="G849" s="24">
        <v>235.0</v>
      </c>
      <c r="H849" s="24">
        <v>45825.0</v>
      </c>
      <c r="I849" s="24">
        <v>4502.71</v>
      </c>
      <c r="J849" s="24">
        <v>585.34</v>
      </c>
      <c r="K849" s="22" t="s">
        <v>109</v>
      </c>
      <c r="L849" s="29">
        <v>5.0</v>
      </c>
      <c r="M849" s="22" t="s">
        <v>847</v>
      </c>
    </row>
    <row r="850" ht="15.75" customHeight="1">
      <c r="A850" s="22" t="s">
        <v>937</v>
      </c>
      <c r="B850" s="23">
        <v>46257.0</v>
      </c>
      <c r="C850" s="22" t="s">
        <v>48</v>
      </c>
      <c r="D850" s="22" t="s">
        <v>49</v>
      </c>
      <c r="E850" s="29">
        <v>690.0</v>
      </c>
      <c r="F850" s="24">
        <v>240.0</v>
      </c>
      <c r="G850" s="24">
        <v>240.0</v>
      </c>
      <c r="H850" s="24">
        <v>165600.0</v>
      </c>
      <c r="I850" s="24">
        <v>6611.72</v>
      </c>
      <c r="J850" s="24">
        <v>0.0</v>
      </c>
      <c r="K850" s="22" t="s">
        <v>116</v>
      </c>
      <c r="L850" s="29">
        <v>16.0</v>
      </c>
      <c r="M850" s="22" t="s">
        <v>847</v>
      </c>
    </row>
    <row r="851" ht="15.75" customHeight="1">
      <c r="A851" s="22" t="s">
        <v>938</v>
      </c>
      <c r="B851" s="23">
        <v>46257.0</v>
      </c>
      <c r="C851" s="22" t="s">
        <v>38</v>
      </c>
      <c r="D851" s="22" t="s">
        <v>49</v>
      </c>
      <c r="E851" s="29">
        <v>249.0</v>
      </c>
      <c r="F851" s="24">
        <v>235.0</v>
      </c>
      <c r="G851" s="24">
        <v>235.0</v>
      </c>
      <c r="H851" s="24">
        <v>58515.0</v>
      </c>
      <c r="I851" s="24">
        <v>3105.92</v>
      </c>
      <c r="J851" s="24">
        <v>126.42</v>
      </c>
      <c r="K851" s="22" t="s">
        <v>133</v>
      </c>
      <c r="L851" s="29">
        <v>9.0</v>
      </c>
      <c r="M851" s="22" t="s">
        <v>847</v>
      </c>
    </row>
    <row r="852" ht="15.75" customHeight="1">
      <c r="A852" s="22" t="s">
        <v>939</v>
      </c>
      <c r="B852" s="23">
        <v>46257.0</v>
      </c>
      <c r="C852" s="22" t="s">
        <v>38</v>
      </c>
      <c r="D852" s="22" t="s">
        <v>10</v>
      </c>
      <c r="E852" s="29">
        <v>634.0</v>
      </c>
      <c r="F852" s="24">
        <v>845.0</v>
      </c>
      <c r="G852" s="24">
        <v>845.0</v>
      </c>
      <c r="H852" s="24">
        <v>535730.0</v>
      </c>
      <c r="I852" s="24">
        <v>16552.85</v>
      </c>
      <c r="J852" s="24">
        <v>1770.93</v>
      </c>
      <c r="K852" s="22" t="s">
        <v>114</v>
      </c>
      <c r="L852" s="29">
        <v>8.0</v>
      </c>
      <c r="M852" s="22" t="s">
        <v>847</v>
      </c>
    </row>
    <row r="853" ht="15.75" customHeight="1">
      <c r="A853" s="22" t="s">
        <v>940</v>
      </c>
      <c r="B853" s="23">
        <v>46257.0</v>
      </c>
      <c r="C853" s="22" t="s">
        <v>48</v>
      </c>
      <c r="D853" s="22" t="s">
        <v>10</v>
      </c>
      <c r="E853" s="29">
        <v>434.0</v>
      </c>
      <c r="F853" s="24">
        <v>850.0</v>
      </c>
      <c r="G853" s="24">
        <v>850.0</v>
      </c>
      <c r="H853" s="24">
        <v>368900.0</v>
      </c>
      <c r="I853" s="24">
        <v>10820.51</v>
      </c>
      <c r="J853" s="24">
        <v>0.0</v>
      </c>
      <c r="K853" s="22" t="s">
        <v>116</v>
      </c>
      <c r="L853" s="29">
        <v>6.0</v>
      </c>
      <c r="M853" s="22" t="s">
        <v>847</v>
      </c>
    </row>
    <row r="854" ht="15.75" customHeight="1">
      <c r="A854" s="22" t="s">
        <v>941</v>
      </c>
      <c r="B854" s="23">
        <v>46257.0</v>
      </c>
      <c r="C854" s="22" t="s">
        <v>48</v>
      </c>
      <c r="D854" s="22" t="s">
        <v>49</v>
      </c>
      <c r="E854" s="29">
        <v>225.0</v>
      </c>
      <c r="F854" s="24">
        <v>240.0</v>
      </c>
      <c r="G854" s="24">
        <v>240.0</v>
      </c>
      <c r="H854" s="24">
        <v>54000.0</v>
      </c>
      <c r="I854" s="24">
        <v>2351.31</v>
      </c>
      <c r="J854" s="24">
        <v>831.08</v>
      </c>
      <c r="K854" s="22" t="s">
        <v>114</v>
      </c>
      <c r="L854" s="29">
        <v>7.0</v>
      </c>
      <c r="M854" s="22" t="s">
        <v>847</v>
      </c>
    </row>
    <row r="855" ht="15.75" customHeight="1">
      <c r="A855" s="22" t="s">
        <v>942</v>
      </c>
      <c r="B855" s="23">
        <v>46257.0</v>
      </c>
      <c r="C855" s="22" t="s">
        <v>48</v>
      </c>
      <c r="D855" s="22" t="s">
        <v>49</v>
      </c>
      <c r="E855" s="29">
        <v>413.0</v>
      </c>
      <c r="F855" s="24">
        <v>240.0</v>
      </c>
      <c r="G855" s="24">
        <v>240.0</v>
      </c>
      <c r="H855" s="24">
        <v>99120.0</v>
      </c>
      <c r="I855" s="24">
        <v>5891.36</v>
      </c>
      <c r="J855" s="24">
        <v>431.0</v>
      </c>
      <c r="K855" s="22" t="s">
        <v>112</v>
      </c>
      <c r="L855" s="29">
        <v>13.0</v>
      </c>
      <c r="M855" s="22" t="s">
        <v>847</v>
      </c>
    </row>
    <row r="856" ht="15.75" customHeight="1">
      <c r="A856" s="22" t="s">
        <v>943</v>
      </c>
      <c r="B856" s="23">
        <v>46257.0</v>
      </c>
      <c r="C856" s="22" t="s">
        <v>38</v>
      </c>
      <c r="D856" s="22" t="s">
        <v>49</v>
      </c>
      <c r="E856" s="29">
        <v>646.0</v>
      </c>
      <c r="F856" s="24">
        <v>235.0</v>
      </c>
      <c r="G856" s="24">
        <v>235.0</v>
      </c>
      <c r="H856" s="24">
        <v>151810.0</v>
      </c>
      <c r="I856" s="24">
        <v>7525.8</v>
      </c>
      <c r="J856" s="24">
        <v>0.0</v>
      </c>
      <c r="K856" s="22" t="s">
        <v>116</v>
      </c>
      <c r="L856" s="29">
        <v>19.0</v>
      </c>
      <c r="M856" s="22" t="s">
        <v>847</v>
      </c>
    </row>
    <row r="857" ht="15.75" customHeight="1">
      <c r="A857" s="22" t="s">
        <v>944</v>
      </c>
      <c r="B857" s="23">
        <v>46257.0</v>
      </c>
      <c r="C857" s="22" t="s">
        <v>56</v>
      </c>
      <c r="D857" s="22" t="s">
        <v>49</v>
      </c>
      <c r="E857" s="29">
        <v>593.0</v>
      </c>
      <c r="F857" s="24">
        <v>230.0</v>
      </c>
      <c r="G857" s="24">
        <v>230.0</v>
      </c>
      <c r="H857" s="24">
        <v>136390.0</v>
      </c>
      <c r="I857" s="24">
        <v>4464.5</v>
      </c>
      <c r="J857" s="24">
        <v>170.0</v>
      </c>
      <c r="K857" s="22" t="s">
        <v>112</v>
      </c>
      <c r="L857" s="29">
        <v>21.0</v>
      </c>
      <c r="M857" s="22" t="s">
        <v>847</v>
      </c>
    </row>
    <row r="858" ht="15.75" customHeight="1">
      <c r="A858" s="22" t="s">
        <v>945</v>
      </c>
      <c r="B858" s="23">
        <v>46257.0</v>
      </c>
      <c r="C858" s="22" t="s">
        <v>48</v>
      </c>
      <c r="D858" s="22" t="s">
        <v>10</v>
      </c>
      <c r="E858" s="29">
        <v>310.0</v>
      </c>
      <c r="F858" s="24">
        <v>850.0</v>
      </c>
      <c r="G858" s="24">
        <v>850.0</v>
      </c>
      <c r="H858" s="24">
        <v>263500.0</v>
      </c>
      <c r="I858" s="24">
        <v>8364.28</v>
      </c>
      <c r="J858" s="24">
        <v>4377.3</v>
      </c>
      <c r="K858" s="22" t="s">
        <v>133</v>
      </c>
      <c r="L858" s="29">
        <v>4.0</v>
      </c>
      <c r="M858" s="22" t="s">
        <v>847</v>
      </c>
    </row>
    <row r="859" ht="15.75" customHeight="1">
      <c r="A859" s="22" t="s">
        <v>946</v>
      </c>
      <c r="B859" s="23">
        <v>46258.0</v>
      </c>
      <c r="C859" s="22" t="s">
        <v>38</v>
      </c>
      <c r="D859" s="22" t="s">
        <v>49</v>
      </c>
      <c r="E859" s="29">
        <v>287.0</v>
      </c>
      <c r="F859" s="24">
        <v>235.0</v>
      </c>
      <c r="G859" s="24">
        <v>235.0</v>
      </c>
      <c r="H859" s="24">
        <v>67445.0</v>
      </c>
      <c r="I859" s="24">
        <v>3619.69</v>
      </c>
      <c r="J859" s="24">
        <v>891.43</v>
      </c>
      <c r="K859" s="22" t="s">
        <v>109</v>
      </c>
      <c r="L859" s="29">
        <v>5.0</v>
      </c>
      <c r="M859" s="22" t="s">
        <v>847</v>
      </c>
    </row>
    <row r="860" ht="15.75" customHeight="1">
      <c r="A860" s="22" t="s">
        <v>947</v>
      </c>
      <c r="B860" s="23">
        <v>46258.0</v>
      </c>
      <c r="C860" s="22" t="s">
        <v>48</v>
      </c>
      <c r="D860" s="22" t="s">
        <v>10</v>
      </c>
      <c r="E860" s="29">
        <v>408.0</v>
      </c>
      <c r="F860" s="24">
        <v>850.0</v>
      </c>
      <c r="G860" s="24">
        <v>850.0</v>
      </c>
      <c r="H860" s="24">
        <v>346800.0</v>
      </c>
      <c r="I860" s="24">
        <v>17716.67</v>
      </c>
      <c r="J860" s="24">
        <v>0.0</v>
      </c>
      <c r="K860" s="22" t="s">
        <v>116</v>
      </c>
      <c r="L860" s="29">
        <v>9.0</v>
      </c>
      <c r="M860" s="22" t="s">
        <v>847</v>
      </c>
    </row>
    <row r="861" ht="15.75" customHeight="1">
      <c r="A861" s="22" t="s">
        <v>948</v>
      </c>
      <c r="B861" s="23">
        <v>46258.0</v>
      </c>
      <c r="C861" s="22" t="s">
        <v>48</v>
      </c>
      <c r="D861" s="22" t="s">
        <v>10</v>
      </c>
      <c r="E861" s="29">
        <v>355.0</v>
      </c>
      <c r="F861" s="24">
        <v>850.0</v>
      </c>
      <c r="G861" s="24">
        <v>850.0</v>
      </c>
      <c r="H861" s="24">
        <v>301750.0</v>
      </c>
      <c r="I861" s="24">
        <v>6745.88</v>
      </c>
      <c r="J861" s="24">
        <v>5348.88</v>
      </c>
      <c r="K861" s="22" t="s">
        <v>114</v>
      </c>
      <c r="L861" s="29">
        <v>4.0</v>
      </c>
      <c r="M861" s="22" t="s">
        <v>847</v>
      </c>
    </row>
    <row r="862" ht="15.75" customHeight="1">
      <c r="A862" s="22" t="s">
        <v>949</v>
      </c>
      <c r="B862" s="23">
        <v>46258.0</v>
      </c>
      <c r="C862" s="22" t="s">
        <v>56</v>
      </c>
      <c r="D862" s="22" t="s">
        <v>49</v>
      </c>
      <c r="E862" s="29">
        <v>118.0</v>
      </c>
      <c r="F862" s="24">
        <v>230.0</v>
      </c>
      <c r="G862" s="24">
        <v>230.0</v>
      </c>
      <c r="H862" s="24">
        <v>27140.0</v>
      </c>
      <c r="I862" s="24">
        <v>927.47</v>
      </c>
      <c r="J862" s="24">
        <v>185.76</v>
      </c>
      <c r="K862" s="22" t="s">
        <v>114</v>
      </c>
      <c r="L862" s="29">
        <v>4.0</v>
      </c>
      <c r="M862" s="22" t="s">
        <v>847</v>
      </c>
    </row>
    <row r="863" ht="15.75" customHeight="1">
      <c r="A863" s="22" t="s">
        <v>950</v>
      </c>
      <c r="B863" s="23">
        <v>46258.0</v>
      </c>
      <c r="C863" s="22" t="s">
        <v>48</v>
      </c>
      <c r="D863" s="22" t="s">
        <v>49</v>
      </c>
      <c r="E863" s="29">
        <v>321.0</v>
      </c>
      <c r="F863" s="24">
        <v>240.0</v>
      </c>
      <c r="G863" s="24">
        <v>240.0</v>
      </c>
      <c r="H863" s="24">
        <v>77040.0</v>
      </c>
      <c r="I863" s="24">
        <v>2543.88</v>
      </c>
      <c r="J863" s="24">
        <v>0.0</v>
      </c>
      <c r="K863" s="22" t="s">
        <v>116</v>
      </c>
      <c r="L863" s="29">
        <v>9.0</v>
      </c>
      <c r="M863" s="22" t="s">
        <v>847</v>
      </c>
    </row>
    <row r="864" ht="15.75" customHeight="1">
      <c r="A864" s="22" t="s">
        <v>951</v>
      </c>
      <c r="B864" s="23">
        <v>46259.0</v>
      </c>
      <c r="C864" s="22" t="s">
        <v>38</v>
      </c>
      <c r="D864" s="22" t="s">
        <v>10</v>
      </c>
      <c r="E864" s="29">
        <v>227.0</v>
      </c>
      <c r="F864" s="24">
        <v>845.0</v>
      </c>
      <c r="G864" s="24">
        <v>845.0</v>
      </c>
      <c r="H864" s="24">
        <v>191815.0</v>
      </c>
      <c r="I864" s="24">
        <v>14078.41</v>
      </c>
      <c r="J864" s="24">
        <v>1258.18</v>
      </c>
      <c r="K864" s="22" t="s">
        <v>109</v>
      </c>
      <c r="L864" s="29">
        <v>1.0</v>
      </c>
      <c r="M864" s="22" t="s">
        <v>847</v>
      </c>
    </row>
    <row r="865" ht="15.75" customHeight="1">
      <c r="A865" s="22" t="s">
        <v>952</v>
      </c>
      <c r="B865" s="23">
        <v>46259.0</v>
      </c>
      <c r="C865" s="22" t="s">
        <v>48</v>
      </c>
      <c r="D865" s="22" t="s">
        <v>49</v>
      </c>
      <c r="E865" s="29">
        <v>835.0</v>
      </c>
      <c r="F865" s="24">
        <v>240.0</v>
      </c>
      <c r="G865" s="24">
        <v>240.0</v>
      </c>
      <c r="H865" s="24">
        <v>200400.0</v>
      </c>
      <c r="I865" s="24">
        <v>11742.25</v>
      </c>
      <c r="J865" s="24">
        <v>1143.38</v>
      </c>
      <c r="K865" s="22" t="s">
        <v>109</v>
      </c>
      <c r="L865" s="29">
        <v>24.0</v>
      </c>
      <c r="M865" s="22" t="s">
        <v>847</v>
      </c>
    </row>
    <row r="866" ht="15.75" customHeight="1">
      <c r="A866" s="22" t="s">
        <v>953</v>
      </c>
      <c r="B866" s="23">
        <v>46259.0</v>
      </c>
      <c r="C866" s="22" t="s">
        <v>48</v>
      </c>
      <c r="D866" s="22" t="s">
        <v>49</v>
      </c>
      <c r="E866" s="29">
        <v>937.0</v>
      </c>
      <c r="F866" s="24">
        <v>240.0</v>
      </c>
      <c r="G866" s="24">
        <v>240.0</v>
      </c>
      <c r="H866" s="24">
        <v>224880.0</v>
      </c>
      <c r="I866" s="24">
        <v>7447.59</v>
      </c>
      <c r="J866" s="24">
        <v>2680.68</v>
      </c>
      <c r="K866" s="22" t="s">
        <v>112</v>
      </c>
      <c r="L866" s="29">
        <v>22.0</v>
      </c>
      <c r="M866" s="22" t="s">
        <v>847</v>
      </c>
    </row>
    <row r="867" ht="15.75" customHeight="1">
      <c r="A867" s="22" t="s">
        <v>954</v>
      </c>
      <c r="B867" s="23">
        <v>46259.0</v>
      </c>
      <c r="C867" s="22" t="s">
        <v>56</v>
      </c>
      <c r="D867" s="22" t="s">
        <v>49</v>
      </c>
      <c r="E867" s="29">
        <v>389.0</v>
      </c>
      <c r="F867" s="24">
        <v>230.0</v>
      </c>
      <c r="G867" s="24">
        <v>230.0</v>
      </c>
      <c r="H867" s="24">
        <v>89470.0</v>
      </c>
      <c r="I867" s="24">
        <v>1028.65</v>
      </c>
      <c r="J867" s="24">
        <v>0.0</v>
      </c>
      <c r="K867" s="22" t="s">
        <v>116</v>
      </c>
      <c r="L867" s="29">
        <v>14.0</v>
      </c>
      <c r="M867" s="22" t="s">
        <v>847</v>
      </c>
    </row>
    <row r="868" ht="15.75" customHeight="1">
      <c r="A868" s="22" t="s">
        <v>955</v>
      </c>
      <c r="B868" s="23">
        <v>46259.0</v>
      </c>
      <c r="C868" s="22" t="s">
        <v>48</v>
      </c>
      <c r="D868" s="22" t="s">
        <v>108</v>
      </c>
      <c r="E868" s="29">
        <v>292.0</v>
      </c>
      <c r="F868" s="24">
        <v>1300.0</v>
      </c>
      <c r="G868" s="24">
        <v>1300.0</v>
      </c>
      <c r="H868" s="24">
        <v>379600.0</v>
      </c>
      <c r="I868" s="24">
        <v>25980.68</v>
      </c>
      <c r="J868" s="24">
        <v>0.0</v>
      </c>
      <c r="K868" s="22" t="s">
        <v>116</v>
      </c>
      <c r="L868" s="29">
        <v>8.0</v>
      </c>
      <c r="M868" s="22" t="s">
        <v>847</v>
      </c>
    </row>
    <row r="869" ht="15.75" customHeight="1">
      <c r="A869" s="22" t="s">
        <v>956</v>
      </c>
      <c r="B869" s="23">
        <v>46260.0</v>
      </c>
      <c r="C869" s="22" t="s">
        <v>38</v>
      </c>
      <c r="D869" s="22" t="s">
        <v>108</v>
      </c>
      <c r="E869" s="29">
        <v>298.0</v>
      </c>
      <c r="F869" s="24">
        <v>1290.0</v>
      </c>
      <c r="G869" s="24">
        <v>1290.0</v>
      </c>
      <c r="H869" s="24">
        <v>384420.0</v>
      </c>
      <c r="I869" s="24">
        <v>10675.06</v>
      </c>
      <c r="J869" s="24">
        <v>0.0</v>
      </c>
      <c r="K869" s="22" t="s">
        <v>116</v>
      </c>
      <c r="L869" s="29">
        <v>5.0</v>
      </c>
      <c r="M869" s="22" t="s">
        <v>847</v>
      </c>
    </row>
    <row r="870" ht="15.75" customHeight="1">
      <c r="A870" s="22" t="s">
        <v>957</v>
      </c>
      <c r="B870" s="23">
        <v>46260.0</v>
      </c>
      <c r="C870" s="22" t="s">
        <v>38</v>
      </c>
      <c r="D870" s="22" t="s">
        <v>49</v>
      </c>
      <c r="E870" s="29">
        <v>359.0</v>
      </c>
      <c r="F870" s="24">
        <v>235.0</v>
      </c>
      <c r="G870" s="24">
        <v>235.0</v>
      </c>
      <c r="H870" s="24">
        <v>84365.0</v>
      </c>
      <c r="I870" s="24">
        <v>2542.04</v>
      </c>
      <c r="J870" s="24">
        <v>0.0</v>
      </c>
      <c r="K870" s="22" t="s">
        <v>116</v>
      </c>
      <c r="L870" s="29">
        <v>8.0</v>
      </c>
      <c r="M870" s="22" t="s">
        <v>847</v>
      </c>
    </row>
    <row r="871" ht="15.75" customHeight="1">
      <c r="A871" s="22" t="s">
        <v>958</v>
      </c>
      <c r="B871" s="23">
        <v>46261.0</v>
      </c>
      <c r="C871" s="22" t="s">
        <v>38</v>
      </c>
      <c r="D871" s="22" t="s">
        <v>49</v>
      </c>
      <c r="E871" s="29">
        <v>167.0</v>
      </c>
      <c r="F871" s="24">
        <v>235.0</v>
      </c>
      <c r="G871" s="24">
        <v>235.0</v>
      </c>
      <c r="H871" s="24">
        <v>39245.0</v>
      </c>
      <c r="I871" s="24">
        <v>2598.76</v>
      </c>
      <c r="J871" s="24">
        <v>588.18</v>
      </c>
      <c r="K871" s="22" t="s">
        <v>133</v>
      </c>
      <c r="L871" s="29">
        <v>5.0</v>
      </c>
      <c r="M871" s="22" t="s">
        <v>847</v>
      </c>
    </row>
    <row r="872" ht="15.75" customHeight="1">
      <c r="A872" s="22" t="s">
        <v>959</v>
      </c>
      <c r="B872" s="23">
        <v>46261.0</v>
      </c>
      <c r="C872" s="22" t="s">
        <v>48</v>
      </c>
      <c r="D872" s="22" t="s">
        <v>10</v>
      </c>
      <c r="E872" s="29">
        <v>524.0</v>
      </c>
      <c r="F872" s="24">
        <v>850.0</v>
      </c>
      <c r="G872" s="24">
        <v>850.0</v>
      </c>
      <c r="H872" s="24">
        <v>445400.0</v>
      </c>
      <c r="I872" s="24">
        <v>13995.76</v>
      </c>
      <c r="J872" s="24">
        <v>0.0</v>
      </c>
      <c r="K872" s="22" t="s">
        <v>116</v>
      </c>
      <c r="L872" s="29">
        <v>9.0</v>
      </c>
      <c r="M872" s="22" t="s">
        <v>847</v>
      </c>
    </row>
    <row r="873" ht="15.75" customHeight="1">
      <c r="A873" s="22" t="s">
        <v>960</v>
      </c>
      <c r="B873" s="23">
        <v>46261.0</v>
      </c>
      <c r="C873" s="22" t="s">
        <v>56</v>
      </c>
      <c r="D873" s="22" t="s">
        <v>10</v>
      </c>
      <c r="E873" s="29">
        <v>689.0</v>
      </c>
      <c r="F873" s="24">
        <v>820.0</v>
      </c>
      <c r="G873" s="24">
        <v>820.0</v>
      </c>
      <c r="H873" s="24">
        <v>564980.0</v>
      </c>
      <c r="I873" s="24">
        <v>14185.95</v>
      </c>
      <c r="J873" s="24">
        <v>0.0</v>
      </c>
      <c r="K873" s="22" t="s">
        <v>116</v>
      </c>
      <c r="L873" s="29">
        <v>10.0</v>
      </c>
      <c r="M873" s="22" t="s">
        <v>847</v>
      </c>
    </row>
    <row r="874" ht="15.75" customHeight="1">
      <c r="A874" s="22" t="s">
        <v>961</v>
      </c>
      <c r="B874" s="23">
        <v>46261.0</v>
      </c>
      <c r="C874" s="22" t="s">
        <v>48</v>
      </c>
      <c r="D874" s="22" t="s">
        <v>10</v>
      </c>
      <c r="E874" s="29">
        <v>247.0</v>
      </c>
      <c r="F874" s="24">
        <v>850.0</v>
      </c>
      <c r="G874" s="24">
        <v>850.0</v>
      </c>
      <c r="H874" s="24">
        <v>209950.0</v>
      </c>
      <c r="I874" s="24">
        <v>10179.64</v>
      </c>
      <c r="J874" s="24">
        <v>3415.89</v>
      </c>
      <c r="K874" s="22" t="s">
        <v>133</v>
      </c>
      <c r="L874" s="29">
        <v>4.0</v>
      </c>
      <c r="M874" s="22" t="s">
        <v>847</v>
      </c>
    </row>
    <row r="875" ht="15.75" customHeight="1">
      <c r="A875" s="22" t="s">
        <v>962</v>
      </c>
      <c r="B875" s="23">
        <v>46262.0</v>
      </c>
      <c r="C875" s="22" t="s">
        <v>56</v>
      </c>
      <c r="D875" s="22" t="s">
        <v>49</v>
      </c>
      <c r="E875" s="29">
        <v>470.0</v>
      </c>
      <c r="F875" s="24">
        <v>230.0</v>
      </c>
      <c r="G875" s="24">
        <v>230.0</v>
      </c>
      <c r="H875" s="24">
        <v>108100.0</v>
      </c>
      <c r="I875" s="24">
        <v>2036.16</v>
      </c>
      <c r="J875" s="24">
        <v>752.69</v>
      </c>
      <c r="K875" s="22" t="s">
        <v>133</v>
      </c>
      <c r="L875" s="29">
        <v>8.0</v>
      </c>
      <c r="M875" s="22" t="s">
        <v>847</v>
      </c>
    </row>
    <row r="876" ht="15.75" customHeight="1">
      <c r="A876" s="22" t="s">
        <v>53</v>
      </c>
      <c r="B876" s="23">
        <v>46263.0</v>
      </c>
      <c r="C876" s="22" t="s">
        <v>48</v>
      </c>
      <c r="D876" s="22" t="s">
        <v>49</v>
      </c>
      <c r="E876" s="29">
        <v>1510.0</v>
      </c>
      <c r="F876" s="24">
        <v>240.0</v>
      </c>
      <c r="G876" s="24">
        <v>240.0</v>
      </c>
      <c r="H876" s="24">
        <v>362400.0</v>
      </c>
      <c r="I876" s="24">
        <v>15796.21</v>
      </c>
      <c r="J876" s="24">
        <v>196882.65</v>
      </c>
      <c r="K876" s="22" t="s">
        <v>917</v>
      </c>
      <c r="L876" s="29">
        <v>45.0</v>
      </c>
      <c r="M876" s="22" t="s">
        <v>847</v>
      </c>
    </row>
    <row r="877" ht="15.75" customHeight="1">
      <c r="A877" s="22" t="s">
        <v>963</v>
      </c>
      <c r="B877" s="23">
        <v>46263.0</v>
      </c>
      <c r="C877" s="22" t="s">
        <v>56</v>
      </c>
      <c r="D877" s="22" t="s">
        <v>10</v>
      </c>
      <c r="E877" s="29">
        <v>326.0</v>
      </c>
      <c r="F877" s="24">
        <v>820.0</v>
      </c>
      <c r="G877" s="24">
        <v>820.0</v>
      </c>
      <c r="H877" s="24">
        <v>267320.0</v>
      </c>
      <c r="I877" s="24">
        <v>3382.77</v>
      </c>
      <c r="J877" s="24">
        <v>0.0</v>
      </c>
      <c r="K877" s="22" t="s">
        <v>116</v>
      </c>
      <c r="L877" s="29">
        <v>6.0</v>
      </c>
      <c r="M877" s="22" t="s">
        <v>847</v>
      </c>
    </row>
    <row r="878" ht="15.75" customHeight="1">
      <c r="A878" s="22" t="s">
        <v>964</v>
      </c>
      <c r="B878" s="23">
        <v>46263.0</v>
      </c>
      <c r="C878" s="22" t="s">
        <v>48</v>
      </c>
      <c r="D878" s="22" t="s">
        <v>108</v>
      </c>
      <c r="E878" s="29">
        <v>162.0</v>
      </c>
      <c r="F878" s="24">
        <v>1300.0</v>
      </c>
      <c r="G878" s="24">
        <v>1300.0</v>
      </c>
      <c r="H878" s="24">
        <v>210600.0</v>
      </c>
      <c r="I878" s="24">
        <v>12567.91</v>
      </c>
      <c r="J878" s="24">
        <v>0.0</v>
      </c>
      <c r="K878" s="22" t="s">
        <v>116</v>
      </c>
      <c r="L878" s="29">
        <v>3.0</v>
      </c>
      <c r="M878" s="22" t="s">
        <v>847</v>
      </c>
    </row>
    <row r="879" ht="15.75" customHeight="1">
      <c r="A879" s="22" t="s">
        <v>965</v>
      </c>
      <c r="B879" s="23">
        <v>46263.0</v>
      </c>
      <c r="C879" s="22" t="s">
        <v>56</v>
      </c>
      <c r="D879" s="22" t="s">
        <v>49</v>
      </c>
      <c r="E879" s="29">
        <v>239.0</v>
      </c>
      <c r="F879" s="24">
        <v>230.0</v>
      </c>
      <c r="G879" s="24">
        <v>230.0</v>
      </c>
      <c r="H879" s="24">
        <v>54970.0</v>
      </c>
      <c r="I879" s="24">
        <v>752.58</v>
      </c>
      <c r="J879" s="24">
        <v>0.0</v>
      </c>
      <c r="K879" s="22" t="s">
        <v>116</v>
      </c>
      <c r="L879" s="29">
        <v>8.0</v>
      </c>
      <c r="M879" s="22" t="s">
        <v>847</v>
      </c>
    </row>
    <row r="880" ht="15.75" customHeight="1">
      <c r="A880" s="22" t="s">
        <v>966</v>
      </c>
      <c r="B880" s="23">
        <v>46264.0</v>
      </c>
      <c r="C880" s="22" t="s">
        <v>48</v>
      </c>
      <c r="D880" s="22" t="s">
        <v>10</v>
      </c>
      <c r="E880" s="29">
        <v>733.0</v>
      </c>
      <c r="F880" s="24">
        <v>850.0</v>
      </c>
      <c r="G880" s="24">
        <v>850.0</v>
      </c>
      <c r="H880" s="24">
        <v>623050.0</v>
      </c>
      <c r="I880" s="24">
        <v>34094.83</v>
      </c>
      <c r="J880" s="24">
        <v>8185.04</v>
      </c>
      <c r="K880" s="22" t="s">
        <v>114</v>
      </c>
      <c r="L880" s="29">
        <v>11.0</v>
      </c>
      <c r="M880" s="22" t="s">
        <v>847</v>
      </c>
    </row>
    <row r="881" ht="15.75" customHeight="1">
      <c r="A881" s="22" t="s">
        <v>967</v>
      </c>
      <c r="B881" s="23">
        <v>46264.0</v>
      </c>
      <c r="C881" s="22" t="s">
        <v>48</v>
      </c>
      <c r="D881" s="22" t="s">
        <v>49</v>
      </c>
      <c r="E881" s="29">
        <v>230.0</v>
      </c>
      <c r="F881" s="24">
        <v>240.0</v>
      </c>
      <c r="G881" s="24">
        <v>240.0</v>
      </c>
      <c r="H881" s="24">
        <v>55200.0</v>
      </c>
      <c r="I881" s="24">
        <v>2031.26</v>
      </c>
      <c r="J881" s="24">
        <v>280.35</v>
      </c>
      <c r="K881" s="22" t="s">
        <v>114</v>
      </c>
      <c r="L881" s="29">
        <v>6.0</v>
      </c>
      <c r="M881" s="22" t="s">
        <v>847</v>
      </c>
    </row>
    <row r="882" ht="15.75" customHeight="1">
      <c r="A882" s="22" t="s">
        <v>968</v>
      </c>
      <c r="B882" s="23">
        <v>46264.0</v>
      </c>
      <c r="C882" s="22" t="s">
        <v>38</v>
      </c>
      <c r="D882" s="22" t="s">
        <v>49</v>
      </c>
      <c r="E882" s="29">
        <v>419.0</v>
      </c>
      <c r="F882" s="24">
        <v>235.0</v>
      </c>
      <c r="G882" s="24">
        <v>235.0</v>
      </c>
      <c r="H882" s="24">
        <v>98465.0</v>
      </c>
      <c r="I882" s="24">
        <v>6339.67</v>
      </c>
      <c r="J882" s="24">
        <v>0.0</v>
      </c>
      <c r="K882" s="22" t="s">
        <v>116</v>
      </c>
      <c r="L882" s="29">
        <v>14.0</v>
      </c>
      <c r="M882" s="22" t="s">
        <v>847</v>
      </c>
    </row>
    <row r="883" ht="15.75" customHeight="1">
      <c r="A883" s="22" t="s">
        <v>969</v>
      </c>
      <c r="B883" s="23">
        <v>46265.0</v>
      </c>
      <c r="C883" s="22" t="s">
        <v>38</v>
      </c>
      <c r="D883" s="22" t="s">
        <v>49</v>
      </c>
      <c r="E883" s="29">
        <v>180.0</v>
      </c>
      <c r="F883" s="24">
        <v>235.0</v>
      </c>
      <c r="G883" s="24">
        <v>235.0</v>
      </c>
      <c r="H883" s="24">
        <v>42300.0</v>
      </c>
      <c r="I883" s="24">
        <v>3062.65</v>
      </c>
      <c r="J883" s="24">
        <v>0.0</v>
      </c>
      <c r="K883" s="22" t="s">
        <v>116</v>
      </c>
      <c r="L883" s="29">
        <v>4.0</v>
      </c>
      <c r="M883" s="22" t="s">
        <v>847</v>
      </c>
    </row>
    <row r="884" ht="15.75" customHeight="1">
      <c r="A884" s="22" t="s">
        <v>970</v>
      </c>
      <c r="B884" s="23">
        <v>46265.0</v>
      </c>
      <c r="C884" s="22" t="s">
        <v>48</v>
      </c>
      <c r="D884" s="22" t="s">
        <v>49</v>
      </c>
      <c r="E884" s="29">
        <v>801.0</v>
      </c>
      <c r="F884" s="24">
        <v>240.0</v>
      </c>
      <c r="G884" s="24">
        <v>240.0</v>
      </c>
      <c r="H884" s="24">
        <v>192240.0</v>
      </c>
      <c r="I884" s="24">
        <v>9960.86</v>
      </c>
      <c r="J884" s="24">
        <v>0.0</v>
      </c>
      <c r="K884" s="22" t="s">
        <v>116</v>
      </c>
      <c r="L884" s="29">
        <v>23.0</v>
      </c>
      <c r="M884" s="22" t="s">
        <v>847</v>
      </c>
    </row>
    <row r="885" ht="15.75" customHeight="1">
      <c r="A885" s="22" t="s">
        <v>971</v>
      </c>
      <c r="B885" s="23">
        <v>46265.0</v>
      </c>
      <c r="C885" s="22" t="s">
        <v>48</v>
      </c>
      <c r="D885" s="22" t="s">
        <v>49</v>
      </c>
      <c r="E885" s="29">
        <v>190.0</v>
      </c>
      <c r="F885" s="24">
        <v>240.0</v>
      </c>
      <c r="G885" s="24">
        <v>240.0</v>
      </c>
      <c r="H885" s="24">
        <v>45600.0</v>
      </c>
      <c r="I885" s="24">
        <v>1581.43</v>
      </c>
      <c r="J885" s="24">
        <v>435.44</v>
      </c>
      <c r="K885" s="22" t="s">
        <v>133</v>
      </c>
      <c r="L885" s="29">
        <v>9.0</v>
      </c>
      <c r="M885" s="22" t="s">
        <v>847</v>
      </c>
    </row>
    <row r="886" ht="15.75" customHeight="1">
      <c r="A886" s="22" t="s">
        <v>972</v>
      </c>
      <c r="B886" s="23">
        <v>46266.0</v>
      </c>
      <c r="C886" s="22" t="s">
        <v>38</v>
      </c>
      <c r="D886" s="22" t="s">
        <v>49</v>
      </c>
      <c r="E886" s="29">
        <v>222.0</v>
      </c>
      <c r="F886" s="24">
        <v>235.0</v>
      </c>
      <c r="G886" s="24">
        <v>235.0</v>
      </c>
      <c r="H886" s="24">
        <v>52170.0</v>
      </c>
      <c r="I886" s="24">
        <v>1801.83</v>
      </c>
      <c r="J886" s="24">
        <v>0.0</v>
      </c>
      <c r="K886" s="22" t="s">
        <v>116</v>
      </c>
      <c r="L886" s="29">
        <v>4.0</v>
      </c>
      <c r="M886" s="22" t="s">
        <v>973</v>
      </c>
    </row>
    <row r="887" ht="15.75" customHeight="1">
      <c r="A887" s="22" t="s">
        <v>974</v>
      </c>
      <c r="B887" s="23">
        <v>46267.0</v>
      </c>
      <c r="C887" s="22" t="s">
        <v>48</v>
      </c>
      <c r="D887" s="22" t="s">
        <v>49</v>
      </c>
      <c r="E887" s="29">
        <v>205.0</v>
      </c>
      <c r="F887" s="24">
        <v>240.0</v>
      </c>
      <c r="G887" s="24">
        <v>240.0</v>
      </c>
      <c r="H887" s="24">
        <v>49200.0</v>
      </c>
      <c r="I887" s="24">
        <v>2397.33</v>
      </c>
      <c r="J887" s="24">
        <v>0.0</v>
      </c>
      <c r="K887" s="22" t="s">
        <v>116</v>
      </c>
      <c r="L887" s="29">
        <v>6.0</v>
      </c>
      <c r="M887" s="22" t="s">
        <v>973</v>
      </c>
    </row>
    <row r="888" ht="15.75" customHeight="1">
      <c r="A888" s="22" t="s">
        <v>975</v>
      </c>
      <c r="B888" s="23">
        <v>46267.0</v>
      </c>
      <c r="C888" s="22" t="s">
        <v>38</v>
      </c>
      <c r="D888" s="22" t="s">
        <v>10</v>
      </c>
      <c r="E888" s="29">
        <v>315.0</v>
      </c>
      <c r="F888" s="24">
        <v>845.0</v>
      </c>
      <c r="G888" s="24">
        <v>845.0</v>
      </c>
      <c r="H888" s="24">
        <v>266175.0</v>
      </c>
      <c r="I888" s="24">
        <v>8079.05</v>
      </c>
      <c r="J888" s="24">
        <v>2675.86</v>
      </c>
      <c r="K888" s="22" t="s">
        <v>114</v>
      </c>
      <c r="L888" s="29">
        <v>11.0</v>
      </c>
      <c r="M888" s="22" t="s">
        <v>973</v>
      </c>
    </row>
    <row r="889" ht="15.75" customHeight="1">
      <c r="A889" s="22" t="s">
        <v>976</v>
      </c>
      <c r="B889" s="23">
        <v>46267.0</v>
      </c>
      <c r="C889" s="22" t="s">
        <v>56</v>
      </c>
      <c r="D889" s="22" t="s">
        <v>49</v>
      </c>
      <c r="E889" s="29">
        <v>701.0</v>
      </c>
      <c r="F889" s="24">
        <v>230.0</v>
      </c>
      <c r="G889" s="24">
        <v>230.0</v>
      </c>
      <c r="H889" s="24">
        <v>161230.0</v>
      </c>
      <c r="I889" s="24">
        <v>4029.53</v>
      </c>
      <c r="J889" s="24">
        <v>0.0</v>
      </c>
      <c r="K889" s="22" t="s">
        <v>116</v>
      </c>
      <c r="L889" s="29">
        <v>27.0</v>
      </c>
      <c r="M889" s="22" t="s">
        <v>973</v>
      </c>
    </row>
    <row r="890" ht="15.75" customHeight="1">
      <c r="A890" s="22" t="s">
        <v>977</v>
      </c>
      <c r="B890" s="23">
        <v>46267.0</v>
      </c>
      <c r="C890" s="22" t="s">
        <v>38</v>
      </c>
      <c r="D890" s="22" t="s">
        <v>49</v>
      </c>
      <c r="E890" s="29">
        <v>1420.0</v>
      </c>
      <c r="F890" s="24">
        <v>235.0</v>
      </c>
      <c r="G890" s="24">
        <v>235.0</v>
      </c>
      <c r="H890" s="24">
        <v>333700.0</v>
      </c>
      <c r="I890" s="24">
        <v>13330.17</v>
      </c>
      <c r="J890" s="24">
        <v>0.0</v>
      </c>
      <c r="K890" s="22" t="s">
        <v>116</v>
      </c>
      <c r="L890" s="29">
        <v>40.0</v>
      </c>
      <c r="M890" s="22" t="s">
        <v>973</v>
      </c>
    </row>
    <row r="891" ht="15.75" customHeight="1">
      <c r="A891" s="22" t="s">
        <v>978</v>
      </c>
      <c r="B891" s="23">
        <v>46267.0</v>
      </c>
      <c r="C891" s="22" t="s">
        <v>38</v>
      </c>
      <c r="D891" s="22" t="s">
        <v>10</v>
      </c>
      <c r="E891" s="29">
        <v>171.0</v>
      </c>
      <c r="F891" s="24">
        <v>845.0</v>
      </c>
      <c r="G891" s="24">
        <v>845.0</v>
      </c>
      <c r="H891" s="24">
        <v>144495.0</v>
      </c>
      <c r="I891" s="24">
        <v>9092.82</v>
      </c>
      <c r="J891" s="24">
        <v>1085.15</v>
      </c>
      <c r="K891" s="22" t="s">
        <v>114</v>
      </c>
      <c r="L891" s="29">
        <v>2.0</v>
      </c>
      <c r="M891" s="22" t="s">
        <v>973</v>
      </c>
    </row>
    <row r="892" ht="15.75" customHeight="1">
      <c r="A892" s="22" t="s">
        <v>979</v>
      </c>
      <c r="B892" s="23">
        <v>46268.0</v>
      </c>
      <c r="C892" s="22" t="s">
        <v>48</v>
      </c>
      <c r="D892" s="22" t="s">
        <v>10</v>
      </c>
      <c r="E892" s="29">
        <v>257.0</v>
      </c>
      <c r="F892" s="24">
        <v>850.0</v>
      </c>
      <c r="G892" s="24">
        <v>850.0</v>
      </c>
      <c r="H892" s="24">
        <v>218450.0</v>
      </c>
      <c r="I892" s="24">
        <v>15729.19</v>
      </c>
      <c r="J892" s="24">
        <v>2103.14</v>
      </c>
      <c r="K892" s="22" t="s">
        <v>133</v>
      </c>
      <c r="L892" s="29">
        <v>3.0</v>
      </c>
      <c r="M892" s="22" t="s">
        <v>973</v>
      </c>
    </row>
    <row r="893" ht="15.75" customHeight="1">
      <c r="A893" s="22" t="s">
        <v>980</v>
      </c>
      <c r="B893" s="23">
        <v>46268.0</v>
      </c>
      <c r="C893" s="22" t="s">
        <v>48</v>
      </c>
      <c r="D893" s="22" t="s">
        <v>49</v>
      </c>
      <c r="E893" s="29">
        <v>347.0</v>
      </c>
      <c r="F893" s="24">
        <v>240.0</v>
      </c>
      <c r="G893" s="24">
        <v>240.0</v>
      </c>
      <c r="H893" s="24">
        <v>83280.0</v>
      </c>
      <c r="I893" s="24">
        <v>4909.32</v>
      </c>
      <c r="J893" s="24">
        <v>515.58</v>
      </c>
      <c r="K893" s="22" t="s">
        <v>112</v>
      </c>
      <c r="L893" s="29">
        <v>11.0</v>
      </c>
      <c r="M893" s="22" t="s">
        <v>973</v>
      </c>
    </row>
    <row r="894" ht="15.75" customHeight="1">
      <c r="A894" s="22" t="s">
        <v>981</v>
      </c>
      <c r="B894" s="23">
        <v>46268.0</v>
      </c>
      <c r="C894" s="22" t="s">
        <v>48</v>
      </c>
      <c r="D894" s="22" t="s">
        <v>10</v>
      </c>
      <c r="E894" s="29">
        <v>310.0</v>
      </c>
      <c r="F894" s="24">
        <v>850.0</v>
      </c>
      <c r="G894" s="24">
        <v>850.0</v>
      </c>
      <c r="H894" s="24">
        <v>263500.0</v>
      </c>
      <c r="I894" s="24">
        <v>11998.83</v>
      </c>
      <c r="J894" s="24">
        <v>0.0</v>
      </c>
      <c r="K894" s="22" t="s">
        <v>116</v>
      </c>
      <c r="L894" s="29">
        <v>4.0</v>
      </c>
      <c r="M894" s="22" t="s">
        <v>973</v>
      </c>
    </row>
    <row r="895" ht="15.75" customHeight="1">
      <c r="A895" s="22" t="s">
        <v>982</v>
      </c>
      <c r="B895" s="23">
        <v>46268.0</v>
      </c>
      <c r="C895" s="22" t="s">
        <v>38</v>
      </c>
      <c r="D895" s="22" t="s">
        <v>49</v>
      </c>
      <c r="E895" s="29">
        <v>457.0</v>
      </c>
      <c r="F895" s="24">
        <v>235.0</v>
      </c>
      <c r="G895" s="24">
        <v>235.0</v>
      </c>
      <c r="H895" s="24">
        <v>107395.0</v>
      </c>
      <c r="I895" s="24">
        <v>7193.67</v>
      </c>
      <c r="J895" s="24">
        <v>1776.17</v>
      </c>
      <c r="K895" s="22" t="s">
        <v>109</v>
      </c>
      <c r="L895" s="29">
        <v>10.0</v>
      </c>
      <c r="M895" s="22" t="s">
        <v>973</v>
      </c>
    </row>
    <row r="896" ht="15.75" customHeight="1">
      <c r="A896" s="22" t="s">
        <v>983</v>
      </c>
      <c r="B896" s="23">
        <v>46269.0</v>
      </c>
      <c r="C896" s="22" t="s">
        <v>38</v>
      </c>
      <c r="D896" s="22" t="s">
        <v>10</v>
      </c>
      <c r="E896" s="29">
        <v>305.0</v>
      </c>
      <c r="F896" s="24">
        <v>845.0</v>
      </c>
      <c r="G896" s="24">
        <v>845.0</v>
      </c>
      <c r="H896" s="24">
        <v>257725.0</v>
      </c>
      <c r="I896" s="24">
        <v>24357.13</v>
      </c>
      <c r="J896" s="24">
        <v>4536.84</v>
      </c>
      <c r="K896" s="22" t="s">
        <v>133</v>
      </c>
      <c r="L896" s="29">
        <v>7.0</v>
      </c>
      <c r="M896" s="22" t="s">
        <v>973</v>
      </c>
    </row>
    <row r="897" ht="15.75" customHeight="1">
      <c r="A897" s="22" t="s">
        <v>984</v>
      </c>
      <c r="B897" s="23">
        <v>46269.0</v>
      </c>
      <c r="C897" s="22" t="s">
        <v>56</v>
      </c>
      <c r="D897" s="22" t="s">
        <v>10</v>
      </c>
      <c r="E897" s="29">
        <v>137.0</v>
      </c>
      <c r="F897" s="24">
        <v>820.0</v>
      </c>
      <c r="G897" s="24">
        <v>820.0</v>
      </c>
      <c r="H897" s="24">
        <v>112340.0</v>
      </c>
      <c r="I897" s="24">
        <v>5601.15</v>
      </c>
      <c r="J897" s="24">
        <v>147.01</v>
      </c>
      <c r="K897" s="22" t="s">
        <v>114</v>
      </c>
      <c r="L897" s="29">
        <v>3.0</v>
      </c>
      <c r="M897" s="22" t="s">
        <v>973</v>
      </c>
    </row>
    <row r="898" ht="15.75" customHeight="1">
      <c r="A898" s="22" t="s">
        <v>985</v>
      </c>
      <c r="B898" s="23">
        <v>46269.0</v>
      </c>
      <c r="C898" s="22" t="s">
        <v>48</v>
      </c>
      <c r="D898" s="22" t="s">
        <v>49</v>
      </c>
      <c r="E898" s="29">
        <v>448.0</v>
      </c>
      <c r="F898" s="24">
        <v>240.0</v>
      </c>
      <c r="G898" s="24">
        <v>240.0</v>
      </c>
      <c r="H898" s="24">
        <v>107520.0</v>
      </c>
      <c r="I898" s="24">
        <v>4343.4</v>
      </c>
      <c r="J898" s="24">
        <v>0.0</v>
      </c>
      <c r="K898" s="22" t="s">
        <v>116</v>
      </c>
      <c r="L898" s="29">
        <v>10.0</v>
      </c>
      <c r="M898" s="22" t="s">
        <v>973</v>
      </c>
    </row>
    <row r="899" ht="15.75" customHeight="1">
      <c r="A899" s="22" t="s">
        <v>986</v>
      </c>
      <c r="B899" s="23">
        <v>46269.0</v>
      </c>
      <c r="C899" s="22" t="s">
        <v>56</v>
      </c>
      <c r="D899" s="22" t="s">
        <v>49</v>
      </c>
      <c r="E899" s="29">
        <v>184.0</v>
      </c>
      <c r="F899" s="24">
        <v>230.0</v>
      </c>
      <c r="G899" s="24">
        <v>230.0</v>
      </c>
      <c r="H899" s="24">
        <v>42320.0</v>
      </c>
      <c r="I899" s="24">
        <v>1477.29</v>
      </c>
      <c r="J899" s="24">
        <v>419.94</v>
      </c>
      <c r="K899" s="22" t="s">
        <v>109</v>
      </c>
      <c r="L899" s="29">
        <v>7.0</v>
      </c>
      <c r="M899" s="22" t="s">
        <v>973</v>
      </c>
    </row>
    <row r="900" ht="15.75" customHeight="1">
      <c r="A900" s="22" t="s">
        <v>987</v>
      </c>
      <c r="B900" s="23">
        <v>46269.0</v>
      </c>
      <c r="C900" s="22" t="s">
        <v>56</v>
      </c>
      <c r="D900" s="22" t="s">
        <v>10</v>
      </c>
      <c r="E900" s="29">
        <v>184.0</v>
      </c>
      <c r="F900" s="24">
        <v>820.0</v>
      </c>
      <c r="G900" s="24">
        <v>820.0</v>
      </c>
      <c r="H900" s="24">
        <v>150880.0</v>
      </c>
      <c r="I900" s="24">
        <v>3998.32</v>
      </c>
      <c r="J900" s="24">
        <v>1784.88</v>
      </c>
      <c r="K900" s="22" t="s">
        <v>109</v>
      </c>
      <c r="L900" s="29">
        <v>5.0</v>
      </c>
      <c r="M900" s="22" t="s">
        <v>973</v>
      </c>
    </row>
    <row r="901" ht="15.75" customHeight="1">
      <c r="A901" s="22" t="s">
        <v>988</v>
      </c>
      <c r="B901" s="23">
        <v>46269.0</v>
      </c>
      <c r="C901" s="22" t="s">
        <v>56</v>
      </c>
      <c r="D901" s="22" t="s">
        <v>49</v>
      </c>
      <c r="E901" s="29">
        <v>361.0</v>
      </c>
      <c r="F901" s="24">
        <v>230.0</v>
      </c>
      <c r="G901" s="24">
        <v>230.0</v>
      </c>
      <c r="H901" s="24">
        <v>83030.0</v>
      </c>
      <c r="I901" s="24">
        <v>3729.69</v>
      </c>
      <c r="J901" s="24">
        <v>784.79</v>
      </c>
      <c r="K901" s="22" t="s">
        <v>114</v>
      </c>
      <c r="L901" s="29">
        <v>15.0</v>
      </c>
      <c r="M901" s="22" t="s">
        <v>973</v>
      </c>
    </row>
    <row r="902" ht="15.75" customHeight="1">
      <c r="A902" s="22" t="s">
        <v>989</v>
      </c>
      <c r="B902" s="23">
        <v>46270.0</v>
      </c>
      <c r="C902" s="22" t="s">
        <v>38</v>
      </c>
      <c r="D902" s="22" t="s">
        <v>108</v>
      </c>
      <c r="E902" s="29">
        <v>287.0</v>
      </c>
      <c r="F902" s="24">
        <v>1290.0</v>
      </c>
      <c r="G902" s="24">
        <v>1290.0</v>
      </c>
      <c r="H902" s="24">
        <v>370230.0</v>
      </c>
      <c r="I902" s="24">
        <v>13386.75</v>
      </c>
      <c r="J902" s="24">
        <v>4940.92</v>
      </c>
      <c r="K902" s="22" t="s">
        <v>112</v>
      </c>
      <c r="L902" s="29">
        <v>3.0</v>
      </c>
      <c r="M902" s="22" t="s">
        <v>973</v>
      </c>
    </row>
    <row r="903" ht="15.75" customHeight="1">
      <c r="A903" s="22" t="s">
        <v>990</v>
      </c>
      <c r="B903" s="23">
        <v>46270.0</v>
      </c>
      <c r="C903" s="22" t="s">
        <v>38</v>
      </c>
      <c r="D903" s="22" t="s">
        <v>10</v>
      </c>
      <c r="E903" s="29">
        <v>340.0</v>
      </c>
      <c r="F903" s="24">
        <v>845.0</v>
      </c>
      <c r="G903" s="24">
        <v>845.0</v>
      </c>
      <c r="H903" s="24">
        <v>287300.0</v>
      </c>
      <c r="I903" s="24">
        <v>6618.65</v>
      </c>
      <c r="J903" s="24">
        <v>4692.25</v>
      </c>
      <c r="K903" s="22" t="s">
        <v>112</v>
      </c>
      <c r="L903" s="29">
        <v>3.0</v>
      </c>
      <c r="M903" s="22" t="s">
        <v>973</v>
      </c>
    </row>
    <row r="904" ht="15.75" customHeight="1">
      <c r="A904" s="22" t="s">
        <v>991</v>
      </c>
      <c r="B904" s="23">
        <v>46271.0</v>
      </c>
      <c r="C904" s="22" t="s">
        <v>56</v>
      </c>
      <c r="D904" s="22" t="s">
        <v>49</v>
      </c>
      <c r="E904" s="29">
        <v>611.0</v>
      </c>
      <c r="F904" s="24">
        <v>230.0</v>
      </c>
      <c r="G904" s="24">
        <v>230.0</v>
      </c>
      <c r="H904" s="24">
        <v>140530.0</v>
      </c>
      <c r="I904" s="24">
        <v>3635.06</v>
      </c>
      <c r="J904" s="24">
        <v>0.0</v>
      </c>
      <c r="K904" s="22" t="s">
        <v>116</v>
      </c>
      <c r="L904" s="29">
        <v>10.0</v>
      </c>
      <c r="M904" s="22" t="s">
        <v>973</v>
      </c>
    </row>
    <row r="905" ht="15.75" customHeight="1">
      <c r="A905" s="22" t="s">
        <v>992</v>
      </c>
      <c r="B905" s="23">
        <v>46271.0</v>
      </c>
      <c r="C905" s="22" t="s">
        <v>38</v>
      </c>
      <c r="D905" s="22" t="s">
        <v>49</v>
      </c>
      <c r="E905" s="29">
        <v>502.0</v>
      </c>
      <c r="F905" s="24">
        <v>235.0</v>
      </c>
      <c r="G905" s="24">
        <v>235.0</v>
      </c>
      <c r="H905" s="24">
        <v>117970.0</v>
      </c>
      <c r="I905" s="24">
        <v>2560.03</v>
      </c>
      <c r="J905" s="24">
        <v>774.08</v>
      </c>
      <c r="K905" s="22" t="s">
        <v>114</v>
      </c>
      <c r="L905" s="29">
        <v>17.0</v>
      </c>
      <c r="M905" s="22" t="s">
        <v>973</v>
      </c>
    </row>
    <row r="906" ht="15.75" customHeight="1">
      <c r="A906" s="22" t="s">
        <v>993</v>
      </c>
      <c r="B906" s="23">
        <v>46271.0</v>
      </c>
      <c r="C906" s="22" t="s">
        <v>48</v>
      </c>
      <c r="D906" s="22" t="s">
        <v>10</v>
      </c>
      <c r="E906" s="29">
        <v>289.0</v>
      </c>
      <c r="F906" s="24">
        <v>850.0</v>
      </c>
      <c r="G906" s="24">
        <v>850.0</v>
      </c>
      <c r="H906" s="24">
        <v>245650.0</v>
      </c>
      <c r="I906" s="24">
        <v>11499.19</v>
      </c>
      <c r="J906" s="24">
        <v>1174.59</v>
      </c>
      <c r="K906" s="22" t="s">
        <v>114</v>
      </c>
      <c r="L906" s="29">
        <v>6.0</v>
      </c>
      <c r="M906" s="22" t="s">
        <v>973</v>
      </c>
    </row>
    <row r="907" ht="15.75" customHeight="1">
      <c r="A907" s="22" t="s">
        <v>994</v>
      </c>
      <c r="B907" s="23">
        <v>46271.0</v>
      </c>
      <c r="C907" s="22" t="s">
        <v>48</v>
      </c>
      <c r="D907" s="22" t="s">
        <v>10</v>
      </c>
      <c r="E907" s="29">
        <v>347.0</v>
      </c>
      <c r="F907" s="24">
        <v>850.0</v>
      </c>
      <c r="G907" s="24">
        <v>850.0</v>
      </c>
      <c r="H907" s="24">
        <v>294950.0</v>
      </c>
      <c r="I907" s="24">
        <v>14795.22</v>
      </c>
      <c r="J907" s="24">
        <v>0.0</v>
      </c>
      <c r="K907" s="22" t="s">
        <v>116</v>
      </c>
      <c r="L907" s="29">
        <v>7.0</v>
      </c>
      <c r="M907" s="22" t="s">
        <v>973</v>
      </c>
    </row>
    <row r="908" ht="15.75" customHeight="1">
      <c r="A908" s="22" t="s">
        <v>995</v>
      </c>
      <c r="B908" s="23">
        <v>46271.0</v>
      </c>
      <c r="C908" s="22" t="s">
        <v>38</v>
      </c>
      <c r="D908" s="22" t="s">
        <v>49</v>
      </c>
      <c r="E908" s="29">
        <v>465.0</v>
      </c>
      <c r="F908" s="24">
        <v>235.0</v>
      </c>
      <c r="G908" s="24">
        <v>235.0</v>
      </c>
      <c r="H908" s="24">
        <v>109275.0</v>
      </c>
      <c r="I908" s="24">
        <v>3059.07</v>
      </c>
      <c r="J908" s="24">
        <v>1542.67</v>
      </c>
      <c r="K908" s="22" t="s">
        <v>133</v>
      </c>
      <c r="L908" s="29">
        <v>15.0</v>
      </c>
      <c r="M908" s="22" t="s">
        <v>973</v>
      </c>
    </row>
    <row r="909" ht="15.75" customHeight="1">
      <c r="A909" s="22" t="s">
        <v>996</v>
      </c>
      <c r="B909" s="23">
        <v>46271.0</v>
      </c>
      <c r="C909" s="22" t="s">
        <v>38</v>
      </c>
      <c r="D909" s="22" t="s">
        <v>49</v>
      </c>
      <c r="E909" s="29">
        <v>251.0</v>
      </c>
      <c r="F909" s="24">
        <v>235.0</v>
      </c>
      <c r="G909" s="24">
        <v>235.0</v>
      </c>
      <c r="H909" s="24">
        <v>58985.0</v>
      </c>
      <c r="I909" s="24">
        <v>2482.47</v>
      </c>
      <c r="J909" s="24">
        <v>589.04</v>
      </c>
      <c r="K909" s="22" t="s">
        <v>133</v>
      </c>
      <c r="L909" s="29">
        <v>6.0</v>
      </c>
      <c r="M909" s="22" t="s">
        <v>973</v>
      </c>
    </row>
    <row r="910" ht="15.75" customHeight="1">
      <c r="A910" s="22" t="s">
        <v>997</v>
      </c>
      <c r="B910" s="23">
        <v>46272.0</v>
      </c>
      <c r="C910" s="22" t="s">
        <v>56</v>
      </c>
      <c r="D910" s="22" t="s">
        <v>49</v>
      </c>
      <c r="E910" s="29">
        <v>149.0</v>
      </c>
      <c r="F910" s="24">
        <v>230.0</v>
      </c>
      <c r="G910" s="24">
        <v>230.0</v>
      </c>
      <c r="H910" s="24">
        <v>34270.0</v>
      </c>
      <c r="I910" s="24">
        <v>973.94</v>
      </c>
      <c r="J910" s="24">
        <v>354.97</v>
      </c>
      <c r="K910" s="22" t="s">
        <v>112</v>
      </c>
      <c r="L910" s="29">
        <v>7.0</v>
      </c>
      <c r="M910" s="22" t="s">
        <v>973</v>
      </c>
    </row>
    <row r="911" ht="15.75" customHeight="1">
      <c r="A911" s="22" t="s">
        <v>998</v>
      </c>
      <c r="B911" s="23">
        <v>46273.0</v>
      </c>
      <c r="C911" s="22" t="s">
        <v>38</v>
      </c>
      <c r="D911" s="22" t="s">
        <v>49</v>
      </c>
      <c r="E911" s="29">
        <v>86.0</v>
      </c>
      <c r="F911" s="24">
        <v>235.0</v>
      </c>
      <c r="G911" s="24">
        <v>235.0</v>
      </c>
      <c r="H911" s="24">
        <v>20210.0</v>
      </c>
      <c r="I911" s="24">
        <v>439.46</v>
      </c>
      <c r="J911" s="24">
        <v>160.51</v>
      </c>
      <c r="K911" s="22" t="s">
        <v>109</v>
      </c>
      <c r="L911" s="29">
        <v>1.0</v>
      </c>
      <c r="M911" s="22" t="s">
        <v>973</v>
      </c>
    </row>
    <row r="912" ht="15.75" customHeight="1">
      <c r="A912" s="22" t="s">
        <v>999</v>
      </c>
      <c r="B912" s="23">
        <v>46273.0</v>
      </c>
      <c r="C912" s="22" t="s">
        <v>48</v>
      </c>
      <c r="D912" s="22" t="s">
        <v>49</v>
      </c>
      <c r="E912" s="29">
        <v>202.0</v>
      </c>
      <c r="F912" s="24">
        <v>240.0</v>
      </c>
      <c r="G912" s="24">
        <v>240.0</v>
      </c>
      <c r="H912" s="24">
        <v>48480.0</v>
      </c>
      <c r="I912" s="24">
        <v>1013.28</v>
      </c>
      <c r="J912" s="24">
        <v>180.38</v>
      </c>
      <c r="K912" s="22" t="s">
        <v>109</v>
      </c>
      <c r="L912" s="29">
        <v>6.0</v>
      </c>
      <c r="M912" s="22" t="s">
        <v>973</v>
      </c>
    </row>
    <row r="913" ht="15.75" customHeight="1">
      <c r="A913" s="22" t="s">
        <v>1000</v>
      </c>
      <c r="B913" s="23">
        <v>46273.0</v>
      </c>
      <c r="C913" s="22" t="s">
        <v>38</v>
      </c>
      <c r="D913" s="22" t="s">
        <v>108</v>
      </c>
      <c r="E913" s="29">
        <v>286.0</v>
      </c>
      <c r="F913" s="24">
        <v>1290.0</v>
      </c>
      <c r="G913" s="24">
        <v>1290.0</v>
      </c>
      <c r="H913" s="24">
        <v>368940.0</v>
      </c>
      <c r="I913" s="24">
        <v>16774.17</v>
      </c>
      <c r="J913" s="24">
        <v>0.0</v>
      </c>
      <c r="K913" s="22" t="s">
        <v>116</v>
      </c>
      <c r="L913" s="29">
        <v>5.0</v>
      </c>
      <c r="M913" s="22" t="s">
        <v>973</v>
      </c>
    </row>
    <row r="914" ht="15.75" customHeight="1">
      <c r="A914" s="22" t="s">
        <v>1001</v>
      </c>
      <c r="B914" s="23">
        <v>46273.0</v>
      </c>
      <c r="C914" s="22" t="s">
        <v>38</v>
      </c>
      <c r="D914" s="22" t="s">
        <v>49</v>
      </c>
      <c r="E914" s="29">
        <v>232.0</v>
      </c>
      <c r="F914" s="24">
        <v>235.0</v>
      </c>
      <c r="G914" s="24">
        <v>235.0</v>
      </c>
      <c r="H914" s="24">
        <v>54520.0</v>
      </c>
      <c r="I914" s="24">
        <v>1911.08</v>
      </c>
      <c r="J914" s="24">
        <v>0.0</v>
      </c>
      <c r="K914" s="22" t="s">
        <v>116</v>
      </c>
      <c r="L914" s="29">
        <v>7.0</v>
      </c>
      <c r="M914" s="22" t="s">
        <v>973</v>
      </c>
    </row>
    <row r="915" ht="15.75" customHeight="1">
      <c r="A915" s="22" t="s">
        <v>1002</v>
      </c>
      <c r="B915" s="23">
        <v>46274.0</v>
      </c>
      <c r="C915" s="22" t="s">
        <v>56</v>
      </c>
      <c r="D915" s="22" t="s">
        <v>49</v>
      </c>
      <c r="E915" s="29">
        <v>214.0</v>
      </c>
      <c r="F915" s="24">
        <v>230.0</v>
      </c>
      <c r="G915" s="24">
        <v>230.0</v>
      </c>
      <c r="H915" s="24">
        <v>49220.0</v>
      </c>
      <c r="I915" s="24">
        <v>1660.97</v>
      </c>
      <c r="J915" s="24">
        <v>0.0</v>
      </c>
      <c r="K915" s="22" t="s">
        <v>116</v>
      </c>
      <c r="L915" s="29">
        <v>7.0</v>
      </c>
      <c r="M915" s="22" t="s">
        <v>973</v>
      </c>
    </row>
    <row r="916" ht="15.75" customHeight="1">
      <c r="A916" s="22" t="s">
        <v>1003</v>
      </c>
      <c r="B916" s="23">
        <v>46274.0</v>
      </c>
      <c r="C916" s="22" t="s">
        <v>56</v>
      </c>
      <c r="D916" s="22" t="s">
        <v>10</v>
      </c>
      <c r="E916" s="29">
        <v>145.0</v>
      </c>
      <c r="F916" s="24">
        <v>820.0</v>
      </c>
      <c r="G916" s="24">
        <v>820.0</v>
      </c>
      <c r="H916" s="24">
        <v>118900.0</v>
      </c>
      <c r="I916" s="24">
        <v>3150.95</v>
      </c>
      <c r="J916" s="24">
        <v>0.0</v>
      </c>
      <c r="K916" s="22" t="s">
        <v>116</v>
      </c>
      <c r="L916" s="29">
        <v>4.0</v>
      </c>
      <c r="M916" s="22" t="s">
        <v>973</v>
      </c>
    </row>
    <row r="917" ht="15.75" customHeight="1">
      <c r="A917" s="22" t="s">
        <v>1004</v>
      </c>
      <c r="B917" s="23">
        <v>46275.0</v>
      </c>
      <c r="C917" s="22" t="s">
        <v>38</v>
      </c>
      <c r="D917" s="22" t="s">
        <v>10</v>
      </c>
      <c r="E917" s="29">
        <v>827.0</v>
      </c>
      <c r="F917" s="24">
        <v>845.0</v>
      </c>
      <c r="G917" s="24">
        <v>845.0</v>
      </c>
      <c r="H917" s="24">
        <v>698815.0</v>
      </c>
      <c r="I917" s="24">
        <v>29222.39</v>
      </c>
      <c r="J917" s="24">
        <v>5930.17</v>
      </c>
      <c r="K917" s="22" t="s">
        <v>114</v>
      </c>
      <c r="L917" s="29">
        <v>11.0</v>
      </c>
      <c r="M917" s="22" t="s">
        <v>973</v>
      </c>
    </row>
    <row r="918" ht="15.75" customHeight="1">
      <c r="A918" s="22" t="s">
        <v>1005</v>
      </c>
      <c r="B918" s="23">
        <v>46275.0</v>
      </c>
      <c r="C918" s="22" t="s">
        <v>38</v>
      </c>
      <c r="D918" s="22" t="s">
        <v>49</v>
      </c>
      <c r="E918" s="29">
        <v>475.0</v>
      </c>
      <c r="F918" s="24">
        <v>235.0</v>
      </c>
      <c r="G918" s="24">
        <v>235.0</v>
      </c>
      <c r="H918" s="24">
        <v>111625.0</v>
      </c>
      <c r="I918" s="24">
        <v>7824.56</v>
      </c>
      <c r="J918" s="24">
        <v>1217.53</v>
      </c>
      <c r="K918" s="22" t="s">
        <v>109</v>
      </c>
      <c r="L918" s="29">
        <v>15.0</v>
      </c>
      <c r="M918" s="22" t="s">
        <v>973</v>
      </c>
    </row>
    <row r="919" ht="15.75" customHeight="1">
      <c r="A919" s="22" t="s">
        <v>1006</v>
      </c>
      <c r="B919" s="23">
        <v>46275.0</v>
      </c>
      <c r="C919" s="22" t="s">
        <v>48</v>
      </c>
      <c r="D919" s="22" t="s">
        <v>49</v>
      </c>
      <c r="E919" s="29">
        <v>195.0</v>
      </c>
      <c r="F919" s="24">
        <v>240.0</v>
      </c>
      <c r="G919" s="24">
        <v>240.0</v>
      </c>
      <c r="H919" s="24">
        <v>46800.0</v>
      </c>
      <c r="I919" s="24">
        <v>2607.88</v>
      </c>
      <c r="J919" s="24">
        <v>384.52</v>
      </c>
      <c r="K919" s="22" t="s">
        <v>114</v>
      </c>
      <c r="L919" s="29">
        <v>9.0</v>
      </c>
      <c r="M919" s="22" t="s">
        <v>973</v>
      </c>
    </row>
    <row r="920" ht="15.75" customHeight="1">
      <c r="A920" s="22" t="s">
        <v>1007</v>
      </c>
      <c r="B920" s="23">
        <v>46275.0</v>
      </c>
      <c r="C920" s="22" t="s">
        <v>48</v>
      </c>
      <c r="D920" s="22" t="s">
        <v>10</v>
      </c>
      <c r="E920" s="29">
        <v>66.0</v>
      </c>
      <c r="F920" s="24">
        <v>850.0</v>
      </c>
      <c r="G920" s="24">
        <v>850.0</v>
      </c>
      <c r="H920" s="24">
        <v>56100.0</v>
      </c>
      <c r="I920" s="24">
        <v>1765.1</v>
      </c>
      <c r="J920" s="24">
        <v>299.02</v>
      </c>
      <c r="K920" s="22" t="s">
        <v>114</v>
      </c>
      <c r="L920" s="29">
        <v>2.0</v>
      </c>
      <c r="M920" s="22" t="s">
        <v>973</v>
      </c>
    </row>
    <row r="921" ht="15.75" customHeight="1">
      <c r="A921" s="22" t="s">
        <v>1008</v>
      </c>
      <c r="B921" s="23">
        <v>46275.0</v>
      </c>
      <c r="C921" s="22" t="s">
        <v>48</v>
      </c>
      <c r="D921" s="22" t="s">
        <v>49</v>
      </c>
      <c r="E921" s="29">
        <v>314.0</v>
      </c>
      <c r="F921" s="24">
        <v>240.0</v>
      </c>
      <c r="G921" s="24">
        <v>240.0</v>
      </c>
      <c r="H921" s="24">
        <v>75360.0</v>
      </c>
      <c r="I921" s="24">
        <v>3498.39</v>
      </c>
      <c r="J921" s="24">
        <v>0.0</v>
      </c>
      <c r="K921" s="22" t="s">
        <v>116</v>
      </c>
      <c r="L921" s="29">
        <v>6.0</v>
      </c>
      <c r="M921" s="22" t="s">
        <v>973</v>
      </c>
    </row>
    <row r="922" ht="15.75" customHeight="1">
      <c r="A922" s="22" t="s">
        <v>1009</v>
      </c>
      <c r="B922" s="23">
        <v>46275.0</v>
      </c>
      <c r="C922" s="22" t="s">
        <v>48</v>
      </c>
      <c r="D922" s="22" t="s">
        <v>49</v>
      </c>
      <c r="E922" s="29">
        <v>488.0</v>
      </c>
      <c r="F922" s="24">
        <v>240.0</v>
      </c>
      <c r="G922" s="24">
        <v>240.0</v>
      </c>
      <c r="H922" s="24">
        <v>117120.0</v>
      </c>
      <c r="I922" s="24">
        <v>2907.06</v>
      </c>
      <c r="J922" s="24">
        <v>518.43</v>
      </c>
      <c r="K922" s="22" t="s">
        <v>133</v>
      </c>
      <c r="L922" s="29">
        <v>17.0</v>
      </c>
      <c r="M922" s="22" t="s">
        <v>973</v>
      </c>
    </row>
    <row r="923" ht="15.75" customHeight="1">
      <c r="A923" s="22" t="s">
        <v>1010</v>
      </c>
      <c r="B923" s="23">
        <v>46275.0</v>
      </c>
      <c r="C923" s="22" t="s">
        <v>38</v>
      </c>
      <c r="D923" s="22" t="s">
        <v>10</v>
      </c>
      <c r="E923" s="29">
        <v>309.0</v>
      </c>
      <c r="F923" s="24">
        <v>845.0</v>
      </c>
      <c r="G923" s="24">
        <v>845.0</v>
      </c>
      <c r="H923" s="24">
        <v>261105.0</v>
      </c>
      <c r="I923" s="24">
        <v>10663.82</v>
      </c>
      <c r="J923" s="24">
        <v>3337.8</v>
      </c>
      <c r="K923" s="22" t="s">
        <v>112</v>
      </c>
      <c r="L923" s="29">
        <v>6.0</v>
      </c>
      <c r="M923" s="22" t="s">
        <v>973</v>
      </c>
    </row>
    <row r="924" ht="15.75" customHeight="1">
      <c r="A924" s="22" t="s">
        <v>1011</v>
      </c>
      <c r="B924" s="23">
        <v>46276.0</v>
      </c>
      <c r="C924" s="22" t="s">
        <v>48</v>
      </c>
      <c r="D924" s="22" t="s">
        <v>49</v>
      </c>
      <c r="E924" s="29">
        <v>243.0</v>
      </c>
      <c r="F924" s="24">
        <v>240.0</v>
      </c>
      <c r="G924" s="24">
        <v>240.0</v>
      </c>
      <c r="H924" s="24">
        <v>58320.0</v>
      </c>
      <c r="I924" s="24">
        <v>1386.93</v>
      </c>
      <c r="J924" s="24">
        <v>687.73</v>
      </c>
      <c r="K924" s="22" t="s">
        <v>112</v>
      </c>
      <c r="L924" s="29">
        <v>9.0</v>
      </c>
      <c r="M924" s="22" t="s">
        <v>973</v>
      </c>
    </row>
    <row r="925" ht="15.75" customHeight="1">
      <c r="A925" s="22" t="s">
        <v>1012</v>
      </c>
      <c r="B925" s="23">
        <v>46276.0</v>
      </c>
      <c r="C925" s="22" t="s">
        <v>48</v>
      </c>
      <c r="D925" s="22" t="s">
        <v>49</v>
      </c>
      <c r="E925" s="29">
        <v>233.0</v>
      </c>
      <c r="F925" s="24">
        <v>240.0</v>
      </c>
      <c r="G925" s="24">
        <v>240.0</v>
      </c>
      <c r="H925" s="24">
        <v>55920.0</v>
      </c>
      <c r="I925" s="24">
        <v>1561.85</v>
      </c>
      <c r="J925" s="24">
        <v>0.0</v>
      </c>
      <c r="K925" s="22" t="s">
        <v>116</v>
      </c>
      <c r="L925" s="29">
        <v>9.0</v>
      </c>
      <c r="M925" s="22" t="s">
        <v>973</v>
      </c>
    </row>
    <row r="926" ht="15.75" customHeight="1">
      <c r="A926" s="22" t="s">
        <v>1013</v>
      </c>
      <c r="B926" s="23">
        <v>46276.0</v>
      </c>
      <c r="C926" s="22" t="s">
        <v>48</v>
      </c>
      <c r="D926" s="22" t="s">
        <v>108</v>
      </c>
      <c r="E926" s="29">
        <v>542.0</v>
      </c>
      <c r="F926" s="24">
        <v>1300.0</v>
      </c>
      <c r="G926" s="24">
        <v>1300.0</v>
      </c>
      <c r="H926" s="24">
        <v>704600.0</v>
      </c>
      <c r="I926" s="24">
        <v>32544.07</v>
      </c>
      <c r="J926" s="24">
        <v>4770.3</v>
      </c>
      <c r="K926" s="22" t="s">
        <v>133</v>
      </c>
      <c r="L926" s="29">
        <v>3.0</v>
      </c>
      <c r="M926" s="22" t="s">
        <v>973</v>
      </c>
    </row>
    <row r="927" ht="15.75" customHeight="1">
      <c r="A927" s="22" t="s">
        <v>1014</v>
      </c>
      <c r="B927" s="23">
        <v>46278.0</v>
      </c>
      <c r="C927" s="22" t="s">
        <v>48</v>
      </c>
      <c r="D927" s="22" t="s">
        <v>108</v>
      </c>
      <c r="E927" s="29">
        <v>148.0</v>
      </c>
      <c r="F927" s="24">
        <v>1300.0</v>
      </c>
      <c r="G927" s="24">
        <v>1300.0</v>
      </c>
      <c r="H927" s="24">
        <v>192400.0</v>
      </c>
      <c r="I927" s="24">
        <v>5200.58</v>
      </c>
      <c r="J927" s="24">
        <v>1233.78</v>
      </c>
      <c r="K927" s="22" t="s">
        <v>112</v>
      </c>
      <c r="L927" s="29">
        <v>2.0</v>
      </c>
      <c r="M927" s="22" t="s">
        <v>973</v>
      </c>
    </row>
    <row r="928" ht="15.75" customHeight="1">
      <c r="A928" s="22" t="s">
        <v>1015</v>
      </c>
      <c r="B928" s="23">
        <v>46278.0</v>
      </c>
      <c r="C928" s="22" t="s">
        <v>38</v>
      </c>
      <c r="D928" s="22" t="s">
        <v>49</v>
      </c>
      <c r="E928" s="29">
        <v>80.0</v>
      </c>
      <c r="F928" s="24">
        <v>235.0</v>
      </c>
      <c r="G928" s="24">
        <v>235.0</v>
      </c>
      <c r="H928" s="24">
        <v>18800.0</v>
      </c>
      <c r="I928" s="24">
        <v>1046.26</v>
      </c>
      <c r="J928" s="24">
        <v>120.29</v>
      </c>
      <c r="K928" s="22" t="s">
        <v>133</v>
      </c>
      <c r="L928" s="29">
        <v>6.0</v>
      </c>
      <c r="M928" s="22" t="s">
        <v>973</v>
      </c>
    </row>
    <row r="929" ht="15.75" customHeight="1">
      <c r="A929" s="22" t="s">
        <v>1016</v>
      </c>
      <c r="B929" s="23">
        <v>46278.0</v>
      </c>
      <c r="C929" s="22" t="s">
        <v>48</v>
      </c>
      <c r="D929" s="22" t="s">
        <v>49</v>
      </c>
      <c r="E929" s="29">
        <v>282.0</v>
      </c>
      <c r="F929" s="24">
        <v>240.0</v>
      </c>
      <c r="G929" s="24">
        <v>240.0</v>
      </c>
      <c r="H929" s="24">
        <v>67680.0</v>
      </c>
      <c r="I929" s="24">
        <v>3478.17</v>
      </c>
      <c r="J929" s="24">
        <v>0.0</v>
      </c>
      <c r="K929" s="22" t="s">
        <v>116</v>
      </c>
      <c r="L929" s="29">
        <v>14.0</v>
      </c>
      <c r="M929" s="22" t="s">
        <v>973</v>
      </c>
    </row>
    <row r="930" ht="15.75" customHeight="1">
      <c r="A930" s="22" t="s">
        <v>1017</v>
      </c>
      <c r="B930" s="23">
        <v>46278.0</v>
      </c>
      <c r="C930" s="22" t="s">
        <v>38</v>
      </c>
      <c r="D930" s="22" t="s">
        <v>10</v>
      </c>
      <c r="E930" s="29">
        <v>510.0</v>
      </c>
      <c r="F930" s="24">
        <v>845.0</v>
      </c>
      <c r="G930" s="24">
        <v>845.0</v>
      </c>
      <c r="H930" s="24">
        <v>430950.0</v>
      </c>
      <c r="I930" s="24">
        <v>22926.17</v>
      </c>
      <c r="J930" s="24">
        <v>0.0</v>
      </c>
      <c r="K930" s="22" t="s">
        <v>116</v>
      </c>
      <c r="L930" s="29">
        <v>8.0</v>
      </c>
      <c r="M930" s="22" t="s">
        <v>973</v>
      </c>
    </row>
    <row r="931" ht="15.75" customHeight="1">
      <c r="A931" s="22" t="s">
        <v>1018</v>
      </c>
      <c r="B931" s="23">
        <v>46278.0</v>
      </c>
      <c r="C931" s="22" t="s">
        <v>38</v>
      </c>
      <c r="D931" s="22" t="s">
        <v>49</v>
      </c>
      <c r="E931" s="29">
        <v>97.0</v>
      </c>
      <c r="F931" s="24">
        <v>235.0</v>
      </c>
      <c r="G931" s="24">
        <v>235.0</v>
      </c>
      <c r="H931" s="24">
        <v>22795.0</v>
      </c>
      <c r="I931" s="24">
        <v>1554.45</v>
      </c>
      <c r="J931" s="24">
        <v>0.0</v>
      </c>
      <c r="K931" s="22" t="s">
        <v>116</v>
      </c>
      <c r="L931" s="29">
        <v>1.0</v>
      </c>
      <c r="M931" s="22" t="s">
        <v>973</v>
      </c>
    </row>
    <row r="932" ht="15.75" customHeight="1">
      <c r="A932" s="22" t="s">
        <v>1019</v>
      </c>
      <c r="B932" s="23">
        <v>46279.0</v>
      </c>
      <c r="C932" s="22" t="s">
        <v>38</v>
      </c>
      <c r="D932" s="22" t="s">
        <v>10</v>
      </c>
      <c r="E932" s="29">
        <v>190.0</v>
      </c>
      <c r="F932" s="24">
        <v>845.0</v>
      </c>
      <c r="G932" s="24">
        <v>845.0</v>
      </c>
      <c r="H932" s="24">
        <v>160550.0</v>
      </c>
      <c r="I932" s="24">
        <v>7689.58</v>
      </c>
      <c r="J932" s="24">
        <v>0.0</v>
      </c>
      <c r="K932" s="22" t="s">
        <v>116</v>
      </c>
      <c r="L932" s="29">
        <v>2.0</v>
      </c>
      <c r="M932" s="22" t="s">
        <v>973</v>
      </c>
    </row>
    <row r="933" ht="15.75" customHeight="1">
      <c r="A933" s="22" t="s">
        <v>1020</v>
      </c>
      <c r="B933" s="23">
        <v>46280.0</v>
      </c>
      <c r="C933" s="22" t="s">
        <v>38</v>
      </c>
      <c r="D933" s="22" t="s">
        <v>108</v>
      </c>
      <c r="E933" s="29">
        <v>145.0</v>
      </c>
      <c r="F933" s="24">
        <v>1290.0</v>
      </c>
      <c r="G933" s="24">
        <v>1290.0</v>
      </c>
      <c r="H933" s="24">
        <v>187050.0</v>
      </c>
      <c r="I933" s="24">
        <v>9720.65</v>
      </c>
      <c r="J933" s="24">
        <v>1017.81</v>
      </c>
      <c r="K933" s="22" t="s">
        <v>133</v>
      </c>
      <c r="L933" s="29">
        <v>3.0</v>
      </c>
      <c r="M933" s="22" t="s">
        <v>973</v>
      </c>
    </row>
    <row r="934" ht="15.75" customHeight="1">
      <c r="A934" s="22" t="s">
        <v>1021</v>
      </c>
      <c r="B934" s="23">
        <v>46280.0</v>
      </c>
      <c r="C934" s="22" t="s">
        <v>48</v>
      </c>
      <c r="D934" s="22" t="s">
        <v>10</v>
      </c>
      <c r="E934" s="29">
        <v>277.0</v>
      </c>
      <c r="F934" s="24">
        <v>850.0</v>
      </c>
      <c r="G934" s="24">
        <v>850.0</v>
      </c>
      <c r="H934" s="24">
        <v>235450.0</v>
      </c>
      <c r="I934" s="24">
        <v>11445.81</v>
      </c>
      <c r="J934" s="24">
        <v>391.24</v>
      </c>
      <c r="K934" s="22" t="s">
        <v>114</v>
      </c>
      <c r="L934" s="29">
        <v>5.0</v>
      </c>
      <c r="M934" s="22" t="s">
        <v>973</v>
      </c>
    </row>
    <row r="935" ht="15.75" customHeight="1">
      <c r="A935" s="22" t="s">
        <v>1022</v>
      </c>
      <c r="B935" s="23">
        <v>46280.0</v>
      </c>
      <c r="C935" s="22" t="s">
        <v>38</v>
      </c>
      <c r="D935" s="22" t="s">
        <v>108</v>
      </c>
      <c r="E935" s="29">
        <v>216.0</v>
      </c>
      <c r="F935" s="24">
        <v>1290.0</v>
      </c>
      <c r="G935" s="24">
        <v>1290.0</v>
      </c>
      <c r="H935" s="24">
        <v>278640.0</v>
      </c>
      <c r="I935" s="24">
        <v>8396.77</v>
      </c>
      <c r="J935" s="24">
        <v>3567.06</v>
      </c>
      <c r="K935" s="22" t="s">
        <v>109</v>
      </c>
      <c r="L935" s="29">
        <v>0.0</v>
      </c>
      <c r="M935" s="22" t="s">
        <v>973</v>
      </c>
    </row>
    <row r="936" ht="15.75" customHeight="1">
      <c r="A936" s="22" t="s">
        <v>1023</v>
      </c>
      <c r="B936" s="23">
        <v>46281.0</v>
      </c>
      <c r="C936" s="22" t="s">
        <v>48</v>
      </c>
      <c r="D936" s="22" t="s">
        <v>10</v>
      </c>
      <c r="E936" s="29">
        <v>79.0</v>
      </c>
      <c r="F936" s="24">
        <v>850.0</v>
      </c>
      <c r="G936" s="24">
        <v>850.0</v>
      </c>
      <c r="H936" s="24">
        <v>67150.0</v>
      </c>
      <c r="I936" s="24">
        <v>2675.63</v>
      </c>
      <c r="J936" s="24">
        <v>0.0</v>
      </c>
      <c r="K936" s="22" t="s">
        <v>116</v>
      </c>
      <c r="L936" s="29">
        <v>2.0</v>
      </c>
      <c r="M936" s="22" t="s">
        <v>973</v>
      </c>
    </row>
    <row r="937" ht="15.75" customHeight="1">
      <c r="A937" s="22" t="s">
        <v>1024</v>
      </c>
      <c r="B937" s="23">
        <v>46281.0</v>
      </c>
      <c r="C937" s="22" t="s">
        <v>38</v>
      </c>
      <c r="D937" s="22" t="s">
        <v>49</v>
      </c>
      <c r="E937" s="29">
        <v>152.0</v>
      </c>
      <c r="F937" s="24">
        <v>235.0</v>
      </c>
      <c r="G937" s="24">
        <v>235.0</v>
      </c>
      <c r="H937" s="24">
        <v>35720.0</v>
      </c>
      <c r="I937" s="24">
        <v>1251.45</v>
      </c>
      <c r="J937" s="24">
        <v>0.0</v>
      </c>
      <c r="K937" s="22" t="s">
        <v>116</v>
      </c>
      <c r="L937" s="29">
        <v>4.0</v>
      </c>
      <c r="M937" s="22" t="s">
        <v>973</v>
      </c>
    </row>
    <row r="938" ht="15.75" customHeight="1">
      <c r="A938" s="22" t="s">
        <v>1025</v>
      </c>
      <c r="B938" s="23">
        <v>46282.0</v>
      </c>
      <c r="C938" s="22" t="s">
        <v>38</v>
      </c>
      <c r="D938" s="22" t="s">
        <v>10</v>
      </c>
      <c r="E938" s="29">
        <v>432.0</v>
      </c>
      <c r="F938" s="24">
        <v>845.0</v>
      </c>
      <c r="G938" s="24">
        <v>845.0</v>
      </c>
      <c r="H938" s="24">
        <v>365040.0</v>
      </c>
      <c r="I938" s="24">
        <v>13284.5</v>
      </c>
      <c r="J938" s="24">
        <v>0.0</v>
      </c>
      <c r="K938" s="22" t="s">
        <v>116</v>
      </c>
      <c r="L938" s="29">
        <v>10.0</v>
      </c>
      <c r="M938" s="22" t="s">
        <v>973</v>
      </c>
    </row>
    <row r="939" ht="15.75" customHeight="1">
      <c r="A939" s="22" t="s">
        <v>1026</v>
      </c>
      <c r="B939" s="23">
        <v>46283.0</v>
      </c>
      <c r="C939" s="22" t="s">
        <v>38</v>
      </c>
      <c r="D939" s="22" t="s">
        <v>108</v>
      </c>
      <c r="E939" s="29">
        <v>213.0</v>
      </c>
      <c r="F939" s="24">
        <v>1290.0</v>
      </c>
      <c r="G939" s="24">
        <v>1290.0</v>
      </c>
      <c r="H939" s="24">
        <v>274770.0</v>
      </c>
      <c r="I939" s="24">
        <v>7054.07</v>
      </c>
      <c r="J939" s="24">
        <v>0.0</v>
      </c>
      <c r="K939" s="22" t="s">
        <v>116</v>
      </c>
      <c r="L939" s="29">
        <v>3.0</v>
      </c>
      <c r="M939" s="22" t="s">
        <v>973</v>
      </c>
    </row>
    <row r="940" ht="15.75" customHeight="1">
      <c r="A940" s="22" t="s">
        <v>1027</v>
      </c>
      <c r="B940" s="23">
        <v>46284.0</v>
      </c>
      <c r="C940" s="22" t="s">
        <v>38</v>
      </c>
      <c r="D940" s="22" t="s">
        <v>108</v>
      </c>
      <c r="E940" s="29">
        <v>121.0</v>
      </c>
      <c r="F940" s="24">
        <v>1290.0</v>
      </c>
      <c r="G940" s="24">
        <v>1290.0</v>
      </c>
      <c r="H940" s="24">
        <v>156090.0</v>
      </c>
      <c r="I940" s="24">
        <v>11349.83</v>
      </c>
      <c r="J940" s="24">
        <v>0.0</v>
      </c>
      <c r="K940" s="22" t="s">
        <v>116</v>
      </c>
      <c r="L940" s="29">
        <v>1.0</v>
      </c>
      <c r="M940" s="22" t="s">
        <v>973</v>
      </c>
    </row>
    <row r="941" ht="15.75" customHeight="1">
      <c r="A941" s="22" t="s">
        <v>1028</v>
      </c>
      <c r="B941" s="23">
        <v>46284.0</v>
      </c>
      <c r="C941" s="22" t="s">
        <v>38</v>
      </c>
      <c r="D941" s="22" t="s">
        <v>49</v>
      </c>
      <c r="E941" s="29">
        <v>160.0</v>
      </c>
      <c r="F941" s="24">
        <v>235.0</v>
      </c>
      <c r="G941" s="24">
        <v>235.0</v>
      </c>
      <c r="H941" s="24">
        <v>37600.0</v>
      </c>
      <c r="I941" s="24">
        <v>2726.47</v>
      </c>
      <c r="J941" s="24">
        <v>0.0</v>
      </c>
      <c r="K941" s="22" t="s">
        <v>116</v>
      </c>
      <c r="L941" s="29">
        <v>5.0</v>
      </c>
      <c r="M941" s="22" t="s">
        <v>973</v>
      </c>
    </row>
    <row r="942" ht="15.75" customHeight="1">
      <c r="A942" s="22" t="s">
        <v>1029</v>
      </c>
      <c r="B942" s="23">
        <v>46284.0</v>
      </c>
      <c r="C942" s="22" t="s">
        <v>56</v>
      </c>
      <c r="D942" s="22" t="s">
        <v>108</v>
      </c>
      <c r="E942" s="29">
        <v>105.0</v>
      </c>
      <c r="F942" s="24">
        <v>1250.0</v>
      </c>
      <c r="G942" s="24">
        <v>1250.0</v>
      </c>
      <c r="H942" s="24">
        <v>131250.0</v>
      </c>
      <c r="I942" s="24">
        <v>4866.86</v>
      </c>
      <c r="J942" s="24">
        <v>0.0</v>
      </c>
      <c r="K942" s="22" t="s">
        <v>116</v>
      </c>
      <c r="L942" s="29">
        <v>2.0</v>
      </c>
      <c r="M942" s="22" t="s">
        <v>973</v>
      </c>
    </row>
    <row r="943" ht="15.75" customHeight="1">
      <c r="A943" s="22" t="s">
        <v>1030</v>
      </c>
      <c r="B943" s="23">
        <v>46284.0</v>
      </c>
      <c r="C943" s="22" t="s">
        <v>56</v>
      </c>
      <c r="D943" s="22" t="s">
        <v>49</v>
      </c>
      <c r="E943" s="29">
        <v>646.0</v>
      </c>
      <c r="F943" s="24">
        <v>230.0</v>
      </c>
      <c r="G943" s="24">
        <v>230.0</v>
      </c>
      <c r="H943" s="24">
        <v>148580.0</v>
      </c>
      <c r="I943" s="24">
        <v>5101.24</v>
      </c>
      <c r="J943" s="24">
        <v>0.0</v>
      </c>
      <c r="K943" s="22" t="s">
        <v>116</v>
      </c>
      <c r="L943" s="29">
        <v>30.0</v>
      </c>
      <c r="M943" s="22" t="s">
        <v>973</v>
      </c>
    </row>
    <row r="944" ht="15.75" customHeight="1">
      <c r="A944" s="22" t="s">
        <v>1031</v>
      </c>
      <c r="B944" s="23">
        <v>46284.0</v>
      </c>
      <c r="C944" s="22" t="s">
        <v>38</v>
      </c>
      <c r="D944" s="22" t="s">
        <v>49</v>
      </c>
      <c r="E944" s="29">
        <v>226.0</v>
      </c>
      <c r="F944" s="24">
        <v>235.0</v>
      </c>
      <c r="G944" s="24">
        <v>235.0</v>
      </c>
      <c r="H944" s="24">
        <v>53110.0</v>
      </c>
      <c r="I944" s="24">
        <v>3438.97</v>
      </c>
      <c r="J944" s="24">
        <v>816.53</v>
      </c>
      <c r="K944" s="22" t="s">
        <v>109</v>
      </c>
      <c r="L944" s="29">
        <v>4.0</v>
      </c>
      <c r="M944" s="22" t="s">
        <v>973</v>
      </c>
    </row>
    <row r="945" ht="15.75" customHeight="1">
      <c r="A945" s="22" t="s">
        <v>1032</v>
      </c>
      <c r="B945" s="23">
        <v>46285.0</v>
      </c>
      <c r="C945" s="22" t="s">
        <v>38</v>
      </c>
      <c r="D945" s="22" t="s">
        <v>10</v>
      </c>
      <c r="E945" s="29">
        <v>342.0</v>
      </c>
      <c r="F945" s="24">
        <v>845.0</v>
      </c>
      <c r="G945" s="24">
        <v>845.0</v>
      </c>
      <c r="H945" s="24">
        <v>288990.0</v>
      </c>
      <c r="I945" s="24">
        <v>10485.41</v>
      </c>
      <c r="J945" s="24">
        <v>632.91</v>
      </c>
      <c r="K945" s="22" t="s">
        <v>109</v>
      </c>
      <c r="L945" s="29">
        <v>4.0</v>
      </c>
      <c r="M945" s="22" t="s">
        <v>973</v>
      </c>
    </row>
    <row r="946" ht="15.75" customHeight="1">
      <c r="A946" s="22" t="s">
        <v>1033</v>
      </c>
      <c r="B946" s="23">
        <v>46286.0</v>
      </c>
      <c r="C946" s="22" t="s">
        <v>38</v>
      </c>
      <c r="D946" s="22" t="s">
        <v>10</v>
      </c>
      <c r="E946" s="29">
        <v>408.0</v>
      </c>
      <c r="F946" s="24">
        <v>845.0</v>
      </c>
      <c r="G946" s="24">
        <v>845.0</v>
      </c>
      <c r="H946" s="24">
        <v>344760.0</v>
      </c>
      <c r="I946" s="24">
        <v>11234.54</v>
      </c>
      <c r="J946" s="24">
        <v>0.0</v>
      </c>
      <c r="K946" s="22" t="s">
        <v>116</v>
      </c>
      <c r="L946" s="29">
        <v>9.0</v>
      </c>
      <c r="M946" s="22" t="s">
        <v>973</v>
      </c>
    </row>
    <row r="947" ht="15.75" customHeight="1">
      <c r="A947" s="22" t="s">
        <v>1034</v>
      </c>
      <c r="B947" s="23">
        <v>46286.0</v>
      </c>
      <c r="C947" s="22" t="s">
        <v>48</v>
      </c>
      <c r="D947" s="22" t="s">
        <v>10</v>
      </c>
      <c r="E947" s="29">
        <v>534.0</v>
      </c>
      <c r="F947" s="24">
        <v>850.0</v>
      </c>
      <c r="G947" s="24">
        <v>850.0</v>
      </c>
      <c r="H947" s="24">
        <v>453900.0</v>
      </c>
      <c r="I947" s="24">
        <v>17521.23</v>
      </c>
      <c r="J947" s="24">
        <v>2389.97</v>
      </c>
      <c r="K947" s="22" t="s">
        <v>114</v>
      </c>
      <c r="L947" s="29">
        <v>10.0</v>
      </c>
      <c r="M947" s="22" t="s">
        <v>973</v>
      </c>
    </row>
    <row r="948" ht="15.75" customHeight="1">
      <c r="A948" s="22" t="s">
        <v>1035</v>
      </c>
      <c r="B948" s="23">
        <v>46286.0</v>
      </c>
      <c r="C948" s="22" t="s">
        <v>48</v>
      </c>
      <c r="D948" s="22" t="s">
        <v>49</v>
      </c>
      <c r="E948" s="29">
        <v>176.0</v>
      </c>
      <c r="F948" s="24">
        <v>240.0</v>
      </c>
      <c r="G948" s="24">
        <v>240.0</v>
      </c>
      <c r="H948" s="24">
        <v>42240.0</v>
      </c>
      <c r="I948" s="24">
        <v>1816.9</v>
      </c>
      <c r="J948" s="24">
        <v>84.28</v>
      </c>
      <c r="K948" s="22" t="s">
        <v>112</v>
      </c>
      <c r="L948" s="29">
        <v>7.0</v>
      </c>
      <c r="M948" s="22" t="s">
        <v>973</v>
      </c>
    </row>
    <row r="949" ht="15.75" customHeight="1">
      <c r="A949" s="22" t="s">
        <v>1036</v>
      </c>
      <c r="B949" s="23">
        <v>46289.0</v>
      </c>
      <c r="C949" s="22" t="s">
        <v>38</v>
      </c>
      <c r="D949" s="22" t="s">
        <v>10</v>
      </c>
      <c r="E949" s="29">
        <v>239.0</v>
      </c>
      <c r="F949" s="24">
        <v>845.0</v>
      </c>
      <c r="G949" s="24">
        <v>845.0</v>
      </c>
      <c r="H949" s="24">
        <v>201955.0</v>
      </c>
      <c r="I949" s="24">
        <v>5203.23</v>
      </c>
      <c r="J949" s="24">
        <v>689.17</v>
      </c>
      <c r="K949" s="22" t="s">
        <v>133</v>
      </c>
      <c r="L949" s="29">
        <v>6.0</v>
      </c>
      <c r="M949" s="22" t="s">
        <v>973</v>
      </c>
    </row>
    <row r="950" ht="15.75" customHeight="1">
      <c r="A950" s="22" t="s">
        <v>1037</v>
      </c>
      <c r="B950" s="23">
        <v>46289.0</v>
      </c>
      <c r="C950" s="22" t="s">
        <v>38</v>
      </c>
      <c r="D950" s="22" t="s">
        <v>10</v>
      </c>
      <c r="E950" s="29">
        <v>461.0</v>
      </c>
      <c r="F950" s="24">
        <v>845.0</v>
      </c>
      <c r="G950" s="24">
        <v>845.0</v>
      </c>
      <c r="H950" s="24">
        <v>389545.0</v>
      </c>
      <c r="I950" s="24">
        <v>18723.79</v>
      </c>
      <c r="J950" s="24">
        <v>967.57</v>
      </c>
      <c r="K950" s="22" t="s">
        <v>133</v>
      </c>
      <c r="L950" s="29">
        <v>4.0</v>
      </c>
      <c r="M950" s="22" t="s">
        <v>973</v>
      </c>
    </row>
    <row r="951" ht="15.75" customHeight="1">
      <c r="A951" s="22" t="s">
        <v>1038</v>
      </c>
      <c r="B951" s="23">
        <v>46290.0</v>
      </c>
      <c r="C951" s="22" t="s">
        <v>38</v>
      </c>
      <c r="D951" s="22" t="s">
        <v>10</v>
      </c>
      <c r="E951" s="29">
        <v>287.0</v>
      </c>
      <c r="F951" s="24">
        <v>845.0</v>
      </c>
      <c r="G951" s="24">
        <v>845.0</v>
      </c>
      <c r="H951" s="24">
        <v>242515.0</v>
      </c>
      <c r="I951" s="24">
        <v>5038.49</v>
      </c>
      <c r="J951" s="24">
        <v>3951.06</v>
      </c>
      <c r="K951" s="22" t="s">
        <v>112</v>
      </c>
      <c r="L951" s="29">
        <v>10.0</v>
      </c>
      <c r="M951" s="22" t="s">
        <v>973</v>
      </c>
    </row>
    <row r="952" ht="15.75" customHeight="1">
      <c r="A952" s="22" t="s">
        <v>1039</v>
      </c>
      <c r="B952" s="23">
        <v>46291.0</v>
      </c>
      <c r="C952" s="22" t="s">
        <v>56</v>
      </c>
      <c r="D952" s="22" t="s">
        <v>108</v>
      </c>
      <c r="E952" s="29">
        <v>200.0</v>
      </c>
      <c r="F952" s="24">
        <v>1250.0</v>
      </c>
      <c r="G952" s="24">
        <v>1250.0</v>
      </c>
      <c r="H952" s="24">
        <v>250000.0</v>
      </c>
      <c r="I952" s="24">
        <v>8661.26</v>
      </c>
      <c r="J952" s="24">
        <v>2925.3</v>
      </c>
      <c r="K952" s="22" t="s">
        <v>112</v>
      </c>
      <c r="L952" s="29">
        <v>5.0</v>
      </c>
      <c r="M952" s="22" t="s">
        <v>973</v>
      </c>
    </row>
    <row r="953" ht="15.75" customHeight="1">
      <c r="A953" s="22" t="s">
        <v>1040</v>
      </c>
      <c r="B953" s="23">
        <v>46292.0</v>
      </c>
      <c r="C953" s="22" t="s">
        <v>48</v>
      </c>
      <c r="D953" s="22" t="s">
        <v>49</v>
      </c>
      <c r="E953" s="29">
        <v>119.0</v>
      </c>
      <c r="F953" s="24">
        <v>240.0</v>
      </c>
      <c r="G953" s="24">
        <v>240.0</v>
      </c>
      <c r="H953" s="24">
        <v>28560.0</v>
      </c>
      <c r="I953" s="24">
        <v>1294.05</v>
      </c>
      <c r="J953" s="24">
        <v>301.02</v>
      </c>
      <c r="K953" s="22" t="s">
        <v>112</v>
      </c>
      <c r="L953" s="29">
        <v>1.0</v>
      </c>
      <c r="M953" s="22" t="s">
        <v>973</v>
      </c>
    </row>
    <row r="954" ht="15.75" customHeight="1">
      <c r="A954" s="22" t="s">
        <v>1041</v>
      </c>
      <c r="B954" s="23">
        <v>46292.0</v>
      </c>
      <c r="C954" s="22" t="s">
        <v>56</v>
      </c>
      <c r="D954" s="22" t="s">
        <v>10</v>
      </c>
      <c r="E954" s="29">
        <v>437.0</v>
      </c>
      <c r="F954" s="24">
        <v>820.0</v>
      </c>
      <c r="G954" s="24">
        <v>820.0</v>
      </c>
      <c r="H954" s="24">
        <v>358340.0</v>
      </c>
      <c r="I954" s="24">
        <v>4916.95</v>
      </c>
      <c r="J954" s="24">
        <v>1273.79</v>
      </c>
      <c r="K954" s="22" t="s">
        <v>112</v>
      </c>
      <c r="L954" s="29">
        <v>17.0</v>
      </c>
      <c r="M954" s="22" t="s">
        <v>973</v>
      </c>
    </row>
    <row r="955" ht="15.75" customHeight="1">
      <c r="A955" s="22" t="s">
        <v>1042</v>
      </c>
      <c r="B955" s="23">
        <v>46292.0</v>
      </c>
      <c r="C955" s="22" t="s">
        <v>38</v>
      </c>
      <c r="D955" s="22" t="s">
        <v>49</v>
      </c>
      <c r="E955" s="29">
        <v>262.0</v>
      </c>
      <c r="F955" s="24">
        <v>235.0</v>
      </c>
      <c r="G955" s="24">
        <v>235.0</v>
      </c>
      <c r="H955" s="24">
        <v>61570.0</v>
      </c>
      <c r="I955" s="24">
        <v>1319.37</v>
      </c>
      <c r="J955" s="24">
        <v>796.74</v>
      </c>
      <c r="K955" s="22" t="s">
        <v>133</v>
      </c>
      <c r="L955" s="29">
        <v>10.0</v>
      </c>
      <c r="M955" s="22" t="s">
        <v>973</v>
      </c>
    </row>
    <row r="956" ht="15.75" customHeight="1">
      <c r="A956" s="22" t="s">
        <v>1043</v>
      </c>
      <c r="B956" s="23">
        <v>46292.0</v>
      </c>
      <c r="C956" s="22" t="s">
        <v>56</v>
      </c>
      <c r="D956" s="22" t="s">
        <v>108</v>
      </c>
      <c r="E956" s="29">
        <v>361.0</v>
      </c>
      <c r="F956" s="24">
        <v>1250.0</v>
      </c>
      <c r="G956" s="24">
        <v>1250.0</v>
      </c>
      <c r="H956" s="24">
        <v>451250.0</v>
      </c>
      <c r="I956" s="24">
        <v>13443.68</v>
      </c>
      <c r="J956" s="24">
        <v>2245.26</v>
      </c>
      <c r="K956" s="22" t="s">
        <v>114</v>
      </c>
      <c r="L956" s="29">
        <v>1.0</v>
      </c>
      <c r="M956" s="22" t="s">
        <v>973</v>
      </c>
    </row>
    <row r="957" ht="15.75" customHeight="1">
      <c r="A957" s="22" t="s">
        <v>1044</v>
      </c>
      <c r="B957" s="23">
        <v>46293.0</v>
      </c>
      <c r="C957" s="22" t="s">
        <v>48</v>
      </c>
      <c r="D957" s="22" t="s">
        <v>49</v>
      </c>
      <c r="E957" s="29">
        <v>634.0</v>
      </c>
      <c r="F957" s="24">
        <v>240.0</v>
      </c>
      <c r="G957" s="24">
        <v>240.0</v>
      </c>
      <c r="H957" s="24">
        <v>152160.0</v>
      </c>
      <c r="I957" s="24">
        <v>4650.77</v>
      </c>
      <c r="J957" s="24">
        <v>657.31</v>
      </c>
      <c r="K957" s="22" t="s">
        <v>114</v>
      </c>
      <c r="L957" s="29">
        <v>26.0</v>
      </c>
      <c r="M957" s="22" t="s">
        <v>973</v>
      </c>
    </row>
    <row r="958" ht="15.75" customHeight="1">
      <c r="A958" s="22" t="s">
        <v>1045</v>
      </c>
      <c r="B958" s="23">
        <v>46293.0</v>
      </c>
      <c r="C958" s="22" t="s">
        <v>38</v>
      </c>
      <c r="D958" s="22" t="s">
        <v>10</v>
      </c>
      <c r="E958" s="29">
        <v>874.0</v>
      </c>
      <c r="F958" s="24">
        <v>845.0</v>
      </c>
      <c r="G958" s="24">
        <v>845.0</v>
      </c>
      <c r="H958" s="24">
        <v>738530.0</v>
      </c>
      <c r="I958" s="24">
        <v>30490.86</v>
      </c>
      <c r="J958" s="24">
        <v>12817.91</v>
      </c>
      <c r="K958" s="22" t="s">
        <v>133</v>
      </c>
      <c r="L958" s="29">
        <v>18.0</v>
      </c>
      <c r="M958" s="22" t="s">
        <v>973</v>
      </c>
    </row>
    <row r="959" ht="15.75" customHeight="1">
      <c r="A959" s="22" t="s">
        <v>1046</v>
      </c>
      <c r="B959" s="23">
        <v>46293.0</v>
      </c>
      <c r="C959" s="22" t="s">
        <v>38</v>
      </c>
      <c r="D959" s="22" t="s">
        <v>10</v>
      </c>
      <c r="E959" s="29">
        <v>288.0</v>
      </c>
      <c r="F959" s="24">
        <v>845.0</v>
      </c>
      <c r="G959" s="24">
        <v>845.0</v>
      </c>
      <c r="H959" s="24">
        <v>243360.0</v>
      </c>
      <c r="I959" s="24">
        <v>9141.35</v>
      </c>
      <c r="J959" s="24">
        <v>0.0</v>
      </c>
      <c r="K959" s="22" t="s">
        <v>116</v>
      </c>
      <c r="L959" s="29">
        <v>8.0</v>
      </c>
      <c r="M959" s="22" t="s">
        <v>973</v>
      </c>
    </row>
    <row r="960" ht="15.75" customHeight="1">
      <c r="A960" s="22" t="s">
        <v>1047</v>
      </c>
      <c r="B960" s="23">
        <v>46295.0</v>
      </c>
      <c r="C960" s="22" t="s">
        <v>38</v>
      </c>
      <c r="D960" s="22" t="s">
        <v>108</v>
      </c>
      <c r="E960" s="29">
        <v>424.0</v>
      </c>
      <c r="F960" s="24">
        <v>1290.0</v>
      </c>
      <c r="G960" s="24">
        <v>1290.0</v>
      </c>
      <c r="H960" s="24">
        <v>546960.0</v>
      </c>
      <c r="I960" s="24">
        <v>36121.83</v>
      </c>
      <c r="J960" s="24">
        <v>0.0</v>
      </c>
      <c r="K960" s="22" t="s">
        <v>116</v>
      </c>
      <c r="L960" s="29">
        <v>6.0</v>
      </c>
      <c r="M960" s="22" t="s">
        <v>973</v>
      </c>
    </row>
    <row r="961" ht="15.75" customHeight="1">
      <c r="A961" s="22" t="s">
        <v>1048</v>
      </c>
      <c r="B961" s="23">
        <v>46295.0</v>
      </c>
      <c r="C961" s="22" t="s">
        <v>56</v>
      </c>
      <c r="D961" s="22" t="s">
        <v>108</v>
      </c>
      <c r="E961" s="29">
        <v>356.0</v>
      </c>
      <c r="F961" s="24">
        <v>1250.0</v>
      </c>
      <c r="G961" s="24">
        <v>1250.0</v>
      </c>
      <c r="H961" s="24">
        <v>445000.0</v>
      </c>
      <c r="I961" s="24">
        <v>7011.48</v>
      </c>
      <c r="J961" s="24">
        <v>5232.3</v>
      </c>
      <c r="K961" s="22" t="s">
        <v>133</v>
      </c>
      <c r="L961" s="29">
        <v>8.0</v>
      </c>
      <c r="M961" s="22" t="s">
        <v>973</v>
      </c>
    </row>
    <row r="962" ht="15.75" customHeight="1">
      <c r="A962" s="22" t="s">
        <v>1049</v>
      </c>
      <c r="B962" s="23">
        <v>46295.0</v>
      </c>
      <c r="C962" s="22" t="s">
        <v>48</v>
      </c>
      <c r="D962" s="22" t="s">
        <v>49</v>
      </c>
      <c r="E962" s="29">
        <v>212.0</v>
      </c>
      <c r="F962" s="24">
        <v>240.0</v>
      </c>
      <c r="G962" s="24">
        <v>240.0</v>
      </c>
      <c r="H962" s="24">
        <v>50880.0</v>
      </c>
      <c r="I962" s="24">
        <v>2388.02</v>
      </c>
      <c r="J962" s="24">
        <v>560.04</v>
      </c>
      <c r="K962" s="22" t="s">
        <v>114</v>
      </c>
      <c r="L962" s="29">
        <v>7.0</v>
      </c>
      <c r="M962" s="22" t="s">
        <v>973</v>
      </c>
    </row>
    <row r="963" ht="15.75" customHeight="1">
      <c r="A963" s="22" t="s">
        <v>1050</v>
      </c>
      <c r="B963" s="23">
        <v>46295.0</v>
      </c>
      <c r="C963" s="22" t="s">
        <v>48</v>
      </c>
      <c r="D963" s="22" t="s">
        <v>49</v>
      </c>
      <c r="E963" s="29">
        <v>237.0</v>
      </c>
      <c r="F963" s="24">
        <v>240.0</v>
      </c>
      <c r="G963" s="24">
        <v>240.0</v>
      </c>
      <c r="H963" s="24">
        <v>56880.0</v>
      </c>
      <c r="I963" s="24">
        <v>2527.63</v>
      </c>
      <c r="J963" s="24">
        <v>0.0</v>
      </c>
      <c r="K963" s="22" t="s">
        <v>116</v>
      </c>
      <c r="L963" s="29">
        <v>7.0</v>
      </c>
      <c r="M963" s="22" t="s">
        <v>973</v>
      </c>
    </row>
    <row r="964" ht="15.75" customHeight="1">
      <c r="A964" s="22" t="s">
        <v>1051</v>
      </c>
      <c r="B964" s="23">
        <v>46295.0</v>
      </c>
      <c r="C964" s="22" t="s">
        <v>38</v>
      </c>
      <c r="D964" s="22" t="s">
        <v>49</v>
      </c>
      <c r="E964" s="29">
        <v>217.0</v>
      </c>
      <c r="F964" s="24">
        <v>235.0</v>
      </c>
      <c r="G964" s="24">
        <v>235.0</v>
      </c>
      <c r="H964" s="24">
        <v>50995.0</v>
      </c>
      <c r="I964" s="24">
        <v>1377.49</v>
      </c>
      <c r="J964" s="24">
        <v>159.89</v>
      </c>
      <c r="K964" s="22" t="s">
        <v>133</v>
      </c>
      <c r="L964" s="29">
        <v>6.0</v>
      </c>
      <c r="M964" s="22" t="s">
        <v>973</v>
      </c>
    </row>
    <row r="965" ht="15.75" customHeight="1">
      <c r="A965" s="22" t="s">
        <v>1052</v>
      </c>
      <c r="B965" s="23">
        <v>46295.0</v>
      </c>
      <c r="C965" s="22" t="s">
        <v>38</v>
      </c>
      <c r="D965" s="22" t="s">
        <v>10</v>
      </c>
      <c r="E965" s="29">
        <v>385.0</v>
      </c>
      <c r="F965" s="24">
        <v>845.0</v>
      </c>
      <c r="G965" s="24">
        <v>845.0</v>
      </c>
      <c r="H965" s="24">
        <v>325325.0</v>
      </c>
      <c r="I965" s="24">
        <v>24125.51</v>
      </c>
      <c r="J965" s="24">
        <v>374.13</v>
      </c>
      <c r="K965" s="22" t="s">
        <v>112</v>
      </c>
      <c r="L965" s="29">
        <v>6.0</v>
      </c>
      <c r="M965" s="22" t="s">
        <v>973</v>
      </c>
    </row>
    <row r="966" ht="15.75" customHeight="1">
      <c r="A966" s="22" t="s">
        <v>1053</v>
      </c>
      <c r="B966" s="23">
        <v>46296.0</v>
      </c>
      <c r="C966" s="22" t="s">
        <v>56</v>
      </c>
      <c r="D966" s="22" t="s">
        <v>49</v>
      </c>
      <c r="E966" s="29">
        <v>169.0</v>
      </c>
      <c r="F966" s="24">
        <v>230.0</v>
      </c>
      <c r="G966" s="24">
        <v>230.0</v>
      </c>
      <c r="H966" s="24">
        <v>38870.0</v>
      </c>
      <c r="I966" s="24">
        <v>1046.37</v>
      </c>
      <c r="J966" s="24">
        <v>0.0</v>
      </c>
      <c r="K966" s="22" t="s">
        <v>116</v>
      </c>
      <c r="L966" s="29">
        <v>6.0</v>
      </c>
      <c r="M966" s="22" t="s">
        <v>1054</v>
      </c>
    </row>
    <row r="967" ht="15.75" customHeight="1">
      <c r="A967" s="22" t="s">
        <v>1055</v>
      </c>
      <c r="B967" s="23">
        <v>46296.0</v>
      </c>
      <c r="C967" s="22" t="s">
        <v>48</v>
      </c>
      <c r="D967" s="22" t="s">
        <v>49</v>
      </c>
      <c r="E967" s="29">
        <v>193.0</v>
      </c>
      <c r="F967" s="24">
        <v>240.0</v>
      </c>
      <c r="G967" s="24">
        <v>240.0</v>
      </c>
      <c r="H967" s="24">
        <v>46320.0</v>
      </c>
      <c r="I967" s="24">
        <v>1093.68</v>
      </c>
      <c r="J967" s="24">
        <v>126.67</v>
      </c>
      <c r="K967" s="22" t="s">
        <v>109</v>
      </c>
      <c r="L967" s="29">
        <v>2.0</v>
      </c>
      <c r="M967" s="22" t="s">
        <v>1054</v>
      </c>
    </row>
    <row r="968" ht="15.75" customHeight="1">
      <c r="A968" s="22" t="s">
        <v>1056</v>
      </c>
      <c r="B968" s="23">
        <v>46297.0</v>
      </c>
      <c r="C968" s="22" t="s">
        <v>48</v>
      </c>
      <c r="D968" s="22" t="s">
        <v>49</v>
      </c>
      <c r="E968" s="29">
        <v>178.0</v>
      </c>
      <c r="F968" s="24">
        <v>240.0</v>
      </c>
      <c r="G968" s="24">
        <v>240.0</v>
      </c>
      <c r="H968" s="24">
        <v>42720.0</v>
      </c>
      <c r="I968" s="24">
        <v>2298.11</v>
      </c>
      <c r="J968" s="24">
        <v>0.0</v>
      </c>
      <c r="K968" s="22" t="s">
        <v>116</v>
      </c>
      <c r="L968" s="29">
        <v>5.0</v>
      </c>
      <c r="M968" s="22" t="s">
        <v>1054</v>
      </c>
    </row>
    <row r="969" ht="15.75" customHeight="1">
      <c r="A969" s="22" t="s">
        <v>1057</v>
      </c>
      <c r="B969" s="23">
        <v>46298.0</v>
      </c>
      <c r="C969" s="22" t="s">
        <v>38</v>
      </c>
      <c r="D969" s="22" t="s">
        <v>49</v>
      </c>
      <c r="E969" s="29">
        <v>345.0</v>
      </c>
      <c r="F969" s="24">
        <v>235.0</v>
      </c>
      <c r="G969" s="24">
        <v>235.0</v>
      </c>
      <c r="H969" s="24">
        <v>81075.0</v>
      </c>
      <c r="I969" s="24">
        <v>2422.72</v>
      </c>
      <c r="J969" s="24">
        <v>1081.32</v>
      </c>
      <c r="K969" s="22" t="s">
        <v>133</v>
      </c>
      <c r="L969" s="29">
        <v>12.0</v>
      </c>
      <c r="M969" s="22" t="s">
        <v>1054</v>
      </c>
    </row>
    <row r="970" ht="15.75" customHeight="1">
      <c r="A970" s="22" t="s">
        <v>1058</v>
      </c>
      <c r="B970" s="23">
        <v>46298.0</v>
      </c>
      <c r="C970" s="22" t="s">
        <v>48</v>
      </c>
      <c r="D970" s="22" t="s">
        <v>10</v>
      </c>
      <c r="E970" s="29">
        <v>88.0</v>
      </c>
      <c r="F970" s="24">
        <v>850.0</v>
      </c>
      <c r="G970" s="24">
        <v>850.0</v>
      </c>
      <c r="H970" s="24">
        <v>74800.0</v>
      </c>
      <c r="I970" s="24">
        <v>3174.34</v>
      </c>
      <c r="J970" s="24">
        <v>451.09</v>
      </c>
      <c r="K970" s="22" t="s">
        <v>114</v>
      </c>
      <c r="L970" s="29">
        <v>4.0</v>
      </c>
      <c r="M970" s="22" t="s">
        <v>1054</v>
      </c>
    </row>
    <row r="971" ht="15.75" customHeight="1">
      <c r="A971" s="22" t="s">
        <v>1059</v>
      </c>
      <c r="B971" s="23">
        <v>46299.0</v>
      </c>
      <c r="C971" s="22" t="s">
        <v>38</v>
      </c>
      <c r="D971" s="22" t="s">
        <v>10</v>
      </c>
      <c r="E971" s="29">
        <v>477.0</v>
      </c>
      <c r="F971" s="24">
        <v>845.0</v>
      </c>
      <c r="G971" s="24">
        <v>845.0</v>
      </c>
      <c r="H971" s="24">
        <v>403065.0</v>
      </c>
      <c r="I971" s="24">
        <v>20971.62</v>
      </c>
      <c r="J971" s="24">
        <v>0.0</v>
      </c>
      <c r="K971" s="22" t="s">
        <v>116</v>
      </c>
      <c r="L971" s="29">
        <v>9.0</v>
      </c>
      <c r="M971" s="22" t="s">
        <v>1054</v>
      </c>
    </row>
    <row r="972" ht="15.75" customHeight="1">
      <c r="A972" s="22" t="s">
        <v>1060</v>
      </c>
      <c r="B972" s="23">
        <v>46299.0</v>
      </c>
      <c r="C972" s="22" t="s">
        <v>38</v>
      </c>
      <c r="D972" s="22" t="s">
        <v>10</v>
      </c>
      <c r="E972" s="29">
        <v>153.0</v>
      </c>
      <c r="F972" s="24">
        <v>845.0</v>
      </c>
      <c r="G972" s="24">
        <v>845.0</v>
      </c>
      <c r="H972" s="24">
        <v>129285.0</v>
      </c>
      <c r="I972" s="24">
        <v>7637.83</v>
      </c>
      <c r="J972" s="24">
        <v>0.0</v>
      </c>
      <c r="K972" s="22" t="s">
        <v>116</v>
      </c>
      <c r="L972" s="29">
        <v>6.0</v>
      </c>
      <c r="M972" s="22" t="s">
        <v>1054</v>
      </c>
    </row>
    <row r="973" ht="15.75" customHeight="1">
      <c r="A973" s="22" t="s">
        <v>1061</v>
      </c>
      <c r="B973" s="23">
        <v>46299.0</v>
      </c>
      <c r="C973" s="22" t="s">
        <v>48</v>
      </c>
      <c r="D973" s="22" t="s">
        <v>108</v>
      </c>
      <c r="E973" s="29">
        <v>158.0</v>
      </c>
      <c r="F973" s="24">
        <v>1300.0</v>
      </c>
      <c r="G973" s="24">
        <v>1300.0</v>
      </c>
      <c r="H973" s="24">
        <v>205400.0</v>
      </c>
      <c r="I973" s="24">
        <v>8788.36</v>
      </c>
      <c r="J973" s="24">
        <v>2474.17</v>
      </c>
      <c r="K973" s="22" t="s">
        <v>133</v>
      </c>
      <c r="L973" s="29">
        <v>4.0</v>
      </c>
      <c r="M973" s="22" t="s">
        <v>1054</v>
      </c>
    </row>
    <row r="974" ht="15.75" customHeight="1">
      <c r="A974" s="22" t="s">
        <v>1062</v>
      </c>
      <c r="B974" s="23">
        <v>46300.0</v>
      </c>
      <c r="C974" s="22" t="s">
        <v>56</v>
      </c>
      <c r="D974" s="22" t="s">
        <v>49</v>
      </c>
      <c r="E974" s="29">
        <v>231.0</v>
      </c>
      <c r="F974" s="24">
        <v>230.0</v>
      </c>
      <c r="G974" s="24">
        <v>230.0</v>
      </c>
      <c r="H974" s="24">
        <v>53130.0</v>
      </c>
      <c r="I974" s="24">
        <v>1144.08</v>
      </c>
      <c r="J974" s="24">
        <v>78.96</v>
      </c>
      <c r="K974" s="22" t="s">
        <v>133</v>
      </c>
      <c r="L974" s="29">
        <v>7.0</v>
      </c>
      <c r="M974" s="22" t="s">
        <v>1054</v>
      </c>
    </row>
    <row r="975" ht="15.75" customHeight="1">
      <c r="A975" s="22" t="s">
        <v>1063</v>
      </c>
      <c r="B975" s="23">
        <v>46301.0</v>
      </c>
      <c r="C975" s="22" t="s">
        <v>48</v>
      </c>
      <c r="D975" s="22" t="s">
        <v>10</v>
      </c>
      <c r="E975" s="29">
        <v>190.0</v>
      </c>
      <c r="F975" s="24">
        <v>850.0</v>
      </c>
      <c r="G975" s="24">
        <v>850.0</v>
      </c>
      <c r="H975" s="24">
        <v>161500.0</v>
      </c>
      <c r="I975" s="24">
        <v>4985.93</v>
      </c>
      <c r="J975" s="24">
        <v>1763.68</v>
      </c>
      <c r="K975" s="22" t="s">
        <v>112</v>
      </c>
      <c r="L975" s="29">
        <v>2.0</v>
      </c>
      <c r="M975" s="22" t="s">
        <v>1054</v>
      </c>
    </row>
    <row r="976" ht="15.75" customHeight="1">
      <c r="A976" s="22" t="s">
        <v>1064</v>
      </c>
      <c r="B976" s="23">
        <v>46302.0</v>
      </c>
      <c r="C976" s="22" t="s">
        <v>48</v>
      </c>
      <c r="D976" s="22" t="s">
        <v>49</v>
      </c>
      <c r="E976" s="29">
        <v>89.0</v>
      </c>
      <c r="F976" s="24">
        <v>240.0</v>
      </c>
      <c r="G976" s="24">
        <v>240.0</v>
      </c>
      <c r="H976" s="24">
        <v>21360.0</v>
      </c>
      <c r="I976" s="24">
        <v>823.73</v>
      </c>
      <c r="J976" s="24">
        <v>229.84</v>
      </c>
      <c r="K976" s="22" t="s">
        <v>114</v>
      </c>
      <c r="L976" s="29">
        <v>3.0</v>
      </c>
      <c r="M976" s="22" t="s">
        <v>1054</v>
      </c>
    </row>
    <row r="977" ht="15.75" customHeight="1">
      <c r="A977" s="22" t="s">
        <v>1065</v>
      </c>
      <c r="B977" s="23">
        <v>46303.0</v>
      </c>
      <c r="C977" s="22" t="s">
        <v>56</v>
      </c>
      <c r="D977" s="22" t="s">
        <v>49</v>
      </c>
      <c r="E977" s="29">
        <v>127.0</v>
      </c>
      <c r="F977" s="24">
        <v>230.0</v>
      </c>
      <c r="G977" s="24">
        <v>230.0</v>
      </c>
      <c r="H977" s="24">
        <v>29210.0</v>
      </c>
      <c r="I977" s="24">
        <v>485.84</v>
      </c>
      <c r="J977" s="24">
        <v>0.0</v>
      </c>
      <c r="K977" s="22" t="s">
        <v>116</v>
      </c>
      <c r="L977" s="29">
        <v>4.0</v>
      </c>
      <c r="M977" s="22" t="s">
        <v>1054</v>
      </c>
    </row>
    <row r="978" ht="15.75" customHeight="1">
      <c r="A978" s="22" t="s">
        <v>1066</v>
      </c>
      <c r="B978" s="23">
        <v>46303.0</v>
      </c>
      <c r="C978" s="22" t="s">
        <v>38</v>
      </c>
      <c r="D978" s="22" t="s">
        <v>10</v>
      </c>
      <c r="E978" s="29">
        <v>636.0</v>
      </c>
      <c r="F978" s="24">
        <v>845.0</v>
      </c>
      <c r="G978" s="24">
        <v>845.0</v>
      </c>
      <c r="H978" s="24">
        <v>537420.0</v>
      </c>
      <c r="I978" s="24">
        <v>22021.56</v>
      </c>
      <c r="J978" s="24">
        <v>6824.23</v>
      </c>
      <c r="K978" s="22" t="s">
        <v>112</v>
      </c>
      <c r="L978" s="29">
        <v>20.0</v>
      </c>
      <c r="M978" s="22" t="s">
        <v>1054</v>
      </c>
    </row>
    <row r="979" ht="15.75" customHeight="1">
      <c r="A979" s="22" t="s">
        <v>1067</v>
      </c>
      <c r="B979" s="23">
        <v>46303.0</v>
      </c>
      <c r="C979" s="22" t="s">
        <v>48</v>
      </c>
      <c r="D979" s="22" t="s">
        <v>10</v>
      </c>
      <c r="E979" s="29">
        <v>690.0</v>
      </c>
      <c r="F979" s="24">
        <v>850.0</v>
      </c>
      <c r="G979" s="24">
        <v>850.0</v>
      </c>
      <c r="H979" s="24">
        <v>586500.0</v>
      </c>
      <c r="I979" s="24">
        <v>27190.37</v>
      </c>
      <c r="J979" s="24">
        <v>5967.04</v>
      </c>
      <c r="K979" s="22" t="s">
        <v>109</v>
      </c>
      <c r="L979" s="29">
        <v>18.0</v>
      </c>
      <c r="M979" s="22" t="s">
        <v>1054</v>
      </c>
    </row>
    <row r="980" ht="15.75" customHeight="1">
      <c r="A980" s="22" t="s">
        <v>1068</v>
      </c>
      <c r="B980" s="23">
        <v>46303.0</v>
      </c>
      <c r="C980" s="22" t="s">
        <v>38</v>
      </c>
      <c r="D980" s="22" t="s">
        <v>108</v>
      </c>
      <c r="E980" s="29">
        <v>303.0</v>
      </c>
      <c r="F980" s="24">
        <v>1290.0</v>
      </c>
      <c r="G980" s="24">
        <v>1290.0</v>
      </c>
      <c r="H980" s="24">
        <v>390870.0</v>
      </c>
      <c r="I980" s="24">
        <v>16242.71</v>
      </c>
      <c r="J980" s="24">
        <v>0.0</v>
      </c>
      <c r="K980" s="22" t="s">
        <v>116</v>
      </c>
      <c r="L980" s="29">
        <v>6.0</v>
      </c>
      <c r="M980" s="22" t="s">
        <v>1054</v>
      </c>
    </row>
    <row r="981" ht="15.75" customHeight="1">
      <c r="A981" s="22" t="s">
        <v>1069</v>
      </c>
      <c r="B981" s="23">
        <v>46304.0</v>
      </c>
      <c r="C981" s="22" t="s">
        <v>38</v>
      </c>
      <c r="D981" s="22" t="s">
        <v>10</v>
      </c>
      <c r="E981" s="29">
        <v>266.0</v>
      </c>
      <c r="F981" s="24">
        <v>845.0</v>
      </c>
      <c r="G981" s="24">
        <v>845.0</v>
      </c>
      <c r="H981" s="24">
        <v>224770.0</v>
      </c>
      <c r="I981" s="24">
        <v>15975.12</v>
      </c>
      <c r="J981" s="24">
        <v>0.0</v>
      </c>
      <c r="K981" s="22" t="s">
        <v>116</v>
      </c>
      <c r="L981" s="29">
        <v>5.0</v>
      </c>
      <c r="M981" s="22" t="s">
        <v>1054</v>
      </c>
    </row>
    <row r="982" ht="15.75" customHeight="1">
      <c r="A982" s="22" t="s">
        <v>1070</v>
      </c>
      <c r="B982" s="23">
        <v>46304.0</v>
      </c>
      <c r="C982" s="22" t="s">
        <v>38</v>
      </c>
      <c r="D982" s="22" t="s">
        <v>49</v>
      </c>
      <c r="E982" s="29">
        <v>180.0</v>
      </c>
      <c r="F982" s="24">
        <v>235.0</v>
      </c>
      <c r="G982" s="24">
        <v>235.0</v>
      </c>
      <c r="H982" s="24">
        <v>42300.0</v>
      </c>
      <c r="I982" s="24">
        <v>2823.65</v>
      </c>
      <c r="J982" s="24">
        <v>0.0</v>
      </c>
      <c r="K982" s="22" t="s">
        <v>116</v>
      </c>
      <c r="L982" s="29">
        <v>9.0</v>
      </c>
      <c r="M982" s="22" t="s">
        <v>1054</v>
      </c>
    </row>
    <row r="983" ht="15.75" customHeight="1">
      <c r="A983" s="22" t="s">
        <v>1071</v>
      </c>
      <c r="B983" s="23">
        <v>46304.0</v>
      </c>
      <c r="C983" s="22" t="s">
        <v>56</v>
      </c>
      <c r="D983" s="22" t="s">
        <v>108</v>
      </c>
      <c r="E983" s="29">
        <v>513.0</v>
      </c>
      <c r="F983" s="24">
        <v>1250.0</v>
      </c>
      <c r="G983" s="24">
        <v>1250.0</v>
      </c>
      <c r="H983" s="24">
        <v>641250.0</v>
      </c>
      <c r="I983" s="24">
        <v>14311.77</v>
      </c>
      <c r="J983" s="24">
        <v>0.0</v>
      </c>
      <c r="K983" s="22" t="s">
        <v>116</v>
      </c>
      <c r="L983" s="29">
        <v>4.0</v>
      </c>
      <c r="M983" s="22" t="s">
        <v>1054</v>
      </c>
    </row>
    <row r="984" ht="15.75" customHeight="1">
      <c r="A984" s="22" t="s">
        <v>1072</v>
      </c>
      <c r="B984" s="23">
        <v>46305.0</v>
      </c>
      <c r="C984" s="22" t="s">
        <v>56</v>
      </c>
      <c r="D984" s="22" t="s">
        <v>10</v>
      </c>
      <c r="E984" s="29">
        <v>151.0</v>
      </c>
      <c r="F984" s="24">
        <v>820.0</v>
      </c>
      <c r="G984" s="24">
        <v>820.0</v>
      </c>
      <c r="H984" s="24">
        <v>123820.0</v>
      </c>
      <c r="I984" s="24">
        <v>2260.57</v>
      </c>
      <c r="J984" s="24">
        <v>0.0</v>
      </c>
      <c r="K984" s="22" t="s">
        <v>116</v>
      </c>
      <c r="L984" s="29">
        <v>3.0</v>
      </c>
      <c r="M984" s="22" t="s">
        <v>1054</v>
      </c>
    </row>
    <row r="985" ht="15.75" customHeight="1">
      <c r="A985" s="22" t="s">
        <v>1073</v>
      </c>
      <c r="B985" s="23">
        <v>46305.0</v>
      </c>
      <c r="C985" s="22" t="s">
        <v>48</v>
      </c>
      <c r="D985" s="22" t="s">
        <v>49</v>
      </c>
      <c r="E985" s="29">
        <v>117.0</v>
      </c>
      <c r="F985" s="24">
        <v>240.0</v>
      </c>
      <c r="G985" s="24">
        <v>240.0</v>
      </c>
      <c r="H985" s="24">
        <v>28080.0</v>
      </c>
      <c r="I985" s="24">
        <v>978.87</v>
      </c>
      <c r="J985" s="24">
        <v>346.86</v>
      </c>
      <c r="K985" s="22" t="s">
        <v>109</v>
      </c>
      <c r="L985" s="29">
        <v>4.0</v>
      </c>
      <c r="M985" s="22" t="s">
        <v>1054</v>
      </c>
    </row>
    <row r="986" ht="15.75" customHeight="1">
      <c r="A986" s="22" t="s">
        <v>1074</v>
      </c>
      <c r="B986" s="23">
        <v>46305.0</v>
      </c>
      <c r="C986" s="22" t="s">
        <v>48</v>
      </c>
      <c r="D986" s="22" t="s">
        <v>10</v>
      </c>
      <c r="E986" s="29">
        <v>601.0</v>
      </c>
      <c r="F986" s="24">
        <v>850.0</v>
      </c>
      <c r="G986" s="24">
        <v>850.0</v>
      </c>
      <c r="H986" s="24">
        <v>510850.0</v>
      </c>
      <c r="I986" s="24">
        <v>21075.2</v>
      </c>
      <c r="J986" s="24">
        <v>7562.34</v>
      </c>
      <c r="K986" s="22" t="s">
        <v>112</v>
      </c>
      <c r="L986" s="29">
        <v>15.0</v>
      </c>
      <c r="M986" s="22" t="s">
        <v>1054</v>
      </c>
    </row>
    <row r="987" ht="15.75" customHeight="1">
      <c r="A987" s="22" t="s">
        <v>1075</v>
      </c>
      <c r="B987" s="23">
        <v>46305.0</v>
      </c>
      <c r="C987" s="22" t="s">
        <v>48</v>
      </c>
      <c r="D987" s="22" t="s">
        <v>49</v>
      </c>
      <c r="E987" s="29">
        <v>278.0</v>
      </c>
      <c r="F987" s="24">
        <v>240.0</v>
      </c>
      <c r="G987" s="24">
        <v>240.0</v>
      </c>
      <c r="H987" s="24">
        <v>66720.0</v>
      </c>
      <c r="I987" s="24">
        <v>1471.33</v>
      </c>
      <c r="J987" s="24">
        <v>251.43</v>
      </c>
      <c r="K987" s="22" t="s">
        <v>133</v>
      </c>
      <c r="L987" s="29">
        <v>13.0</v>
      </c>
      <c r="M987" s="22" t="s">
        <v>1054</v>
      </c>
    </row>
    <row r="988" ht="15.75" customHeight="1">
      <c r="A988" s="22" t="s">
        <v>1076</v>
      </c>
      <c r="B988" s="23">
        <v>46305.0</v>
      </c>
      <c r="C988" s="22" t="s">
        <v>38</v>
      </c>
      <c r="D988" s="22" t="s">
        <v>10</v>
      </c>
      <c r="E988" s="29">
        <v>92.0</v>
      </c>
      <c r="F988" s="24">
        <v>845.0</v>
      </c>
      <c r="G988" s="24">
        <v>845.0</v>
      </c>
      <c r="H988" s="24">
        <v>77740.0</v>
      </c>
      <c r="I988" s="24">
        <v>5505.01</v>
      </c>
      <c r="J988" s="24">
        <v>1258.88</v>
      </c>
      <c r="K988" s="22" t="s">
        <v>109</v>
      </c>
      <c r="L988" s="29">
        <v>4.0</v>
      </c>
      <c r="M988" s="22" t="s">
        <v>1054</v>
      </c>
    </row>
    <row r="989" ht="15.75" customHeight="1">
      <c r="A989" s="22" t="s">
        <v>1077</v>
      </c>
      <c r="B989" s="23">
        <v>46306.0</v>
      </c>
      <c r="C989" s="22" t="s">
        <v>38</v>
      </c>
      <c r="D989" s="22" t="s">
        <v>49</v>
      </c>
      <c r="E989" s="29">
        <v>70.0</v>
      </c>
      <c r="F989" s="24">
        <v>235.0</v>
      </c>
      <c r="G989" s="24">
        <v>235.0</v>
      </c>
      <c r="H989" s="24">
        <v>16450.0</v>
      </c>
      <c r="I989" s="24">
        <v>382.51</v>
      </c>
      <c r="J989" s="24">
        <v>294.59</v>
      </c>
      <c r="K989" s="22" t="s">
        <v>109</v>
      </c>
      <c r="L989" s="29">
        <v>1.0</v>
      </c>
      <c r="M989" s="22" t="s">
        <v>1054</v>
      </c>
    </row>
    <row r="990" ht="15.75" customHeight="1">
      <c r="A990" s="22" t="s">
        <v>1078</v>
      </c>
      <c r="B990" s="23">
        <v>46306.0</v>
      </c>
      <c r="C990" s="22" t="s">
        <v>56</v>
      </c>
      <c r="D990" s="22" t="s">
        <v>10</v>
      </c>
      <c r="E990" s="29">
        <v>306.0</v>
      </c>
      <c r="F990" s="24">
        <v>820.0</v>
      </c>
      <c r="G990" s="24">
        <v>820.0</v>
      </c>
      <c r="H990" s="24">
        <v>250920.0</v>
      </c>
      <c r="I990" s="24">
        <v>3013.69</v>
      </c>
      <c r="J990" s="24">
        <v>0.0</v>
      </c>
      <c r="K990" s="22" t="s">
        <v>116</v>
      </c>
      <c r="L990" s="29">
        <v>4.0</v>
      </c>
      <c r="M990" s="22" t="s">
        <v>1054</v>
      </c>
    </row>
    <row r="991" ht="15.75" customHeight="1">
      <c r="A991" s="22" t="s">
        <v>1079</v>
      </c>
      <c r="B991" s="23">
        <v>46307.0</v>
      </c>
      <c r="C991" s="22" t="s">
        <v>48</v>
      </c>
      <c r="D991" s="22" t="s">
        <v>10</v>
      </c>
      <c r="E991" s="29">
        <v>167.0</v>
      </c>
      <c r="F991" s="24">
        <v>850.0</v>
      </c>
      <c r="G991" s="24">
        <v>850.0</v>
      </c>
      <c r="H991" s="24">
        <v>141950.0</v>
      </c>
      <c r="I991" s="24">
        <v>7476.22</v>
      </c>
      <c r="J991" s="24">
        <v>625.77</v>
      </c>
      <c r="K991" s="22" t="s">
        <v>114</v>
      </c>
      <c r="L991" s="29">
        <v>2.0</v>
      </c>
      <c r="M991" s="22" t="s">
        <v>1054</v>
      </c>
    </row>
    <row r="992" ht="15.75" customHeight="1">
      <c r="A992" s="22" t="s">
        <v>1080</v>
      </c>
      <c r="B992" s="23">
        <v>46307.0</v>
      </c>
      <c r="C992" s="22" t="s">
        <v>38</v>
      </c>
      <c r="D992" s="22" t="s">
        <v>108</v>
      </c>
      <c r="E992" s="29">
        <v>526.0</v>
      </c>
      <c r="F992" s="24">
        <v>1290.0</v>
      </c>
      <c r="G992" s="24">
        <v>1290.0</v>
      </c>
      <c r="H992" s="24">
        <v>678540.0</v>
      </c>
      <c r="I992" s="24">
        <v>16686.71</v>
      </c>
      <c r="J992" s="24">
        <v>11517.61</v>
      </c>
      <c r="K992" s="22" t="s">
        <v>112</v>
      </c>
      <c r="L992" s="29">
        <v>9.0</v>
      </c>
      <c r="M992" s="22" t="s">
        <v>1054</v>
      </c>
    </row>
    <row r="993" ht="15.75" customHeight="1">
      <c r="A993" s="22" t="s">
        <v>1081</v>
      </c>
      <c r="B993" s="23">
        <v>46308.0</v>
      </c>
      <c r="C993" s="22" t="s">
        <v>56</v>
      </c>
      <c r="D993" s="22" t="s">
        <v>49</v>
      </c>
      <c r="E993" s="29">
        <v>559.0</v>
      </c>
      <c r="F993" s="24">
        <v>230.0</v>
      </c>
      <c r="G993" s="24">
        <v>230.0</v>
      </c>
      <c r="H993" s="24">
        <v>128570.0</v>
      </c>
      <c r="I993" s="24">
        <v>3871.03</v>
      </c>
      <c r="J993" s="24">
        <v>0.0</v>
      </c>
      <c r="K993" s="22" t="s">
        <v>116</v>
      </c>
      <c r="L993" s="29">
        <v>19.0</v>
      </c>
      <c r="M993" s="22" t="s">
        <v>1054</v>
      </c>
    </row>
    <row r="994" ht="15.75" customHeight="1">
      <c r="A994" s="22" t="s">
        <v>1082</v>
      </c>
      <c r="B994" s="23">
        <v>46308.0</v>
      </c>
      <c r="C994" s="22" t="s">
        <v>48</v>
      </c>
      <c r="D994" s="22" t="s">
        <v>49</v>
      </c>
      <c r="E994" s="29">
        <v>145.0</v>
      </c>
      <c r="F994" s="24">
        <v>240.0</v>
      </c>
      <c r="G994" s="24">
        <v>240.0</v>
      </c>
      <c r="H994" s="24">
        <v>34800.0</v>
      </c>
      <c r="I994" s="24">
        <v>965.49</v>
      </c>
      <c r="J994" s="24">
        <v>0.0</v>
      </c>
      <c r="K994" s="22" t="s">
        <v>116</v>
      </c>
      <c r="L994" s="29">
        <v>4.0</v>
      </c>
      <c r="M994" s="22" t="s">
        <v>1054</v>
      </c>
    </row>
    <row r="995" ht="15.75" customHeight="1">
      <c r="A995" s="22" t="s">
        <v>1083</v>
      </c>
      <c r="B995" s="23">
        <v>46308.0</v>
      </c>
      <c r="C995" s="22" t="s">
        <v>38</v>
      </c>
      <c r="D995" s="22" t="s">
        <v>49</v>
      </c>
      <c r="E995" s="29">
        <v>135.0</v>
      </c>
      <c r="F995" s="24">
        <v>235.0</v>
      </c>
      <c r="G995" s="24">
        <v>235.0</v>
      </c>
      <c r="H995" s="24">
        <v>31725.0</v>
      </c>
      <c r="I995" s="24">
        <v>1458.95</v>
      </c>
      <c r="J995" s="24">
        <v>243.87</v>
      </c>
      <c r="K995" s="22" t="s">
        <v>109</v>
      </c>
      <c r="L995" s="29">
        <v>2.0</v>
      </c>
      <c r="M995" s="22" t="s">
        <v>1054</v>
      </c>
    </row>
    <row r="996" ht="15.75" customHeight="1">
      <c r="A996" s="22" t="s">
        <v>1084</v>
      </c>
      <c r="B996" s="23">
        <v>46309.0</v>
      </c>
      <c r="C996" s="22" t="s">
        <v>48</v>
      </c>
      <c r="D996" s="22" t="s">
        <v>108</v>
      </c>
      <c r="E996" s="29">
        <v>192.0</v>
      </c>
      <c r="F996" s="24">
        <v>1300.0</v>
      </c>
      <c r="G996" s="24">
        <v>1300.0</v>
      </c>
      <c r="H996" s="24">
        <v>249600.0</v>
      </c>
      <c r="I996" s="24">
        <v>7830.39</v>
      </c>
      <c r="J996" s="24">
        <v>0.0</v>
      </c>
      <c r="K996" s="22" t="s">
        <v>116</v>
      </c>
      <c r="L996" s="29">
        <v>4.0</v>
      </c>
      <c r="M996" s="22" t="s">
        <v>1054</v>
      </c>
    </row>
    <row r="997" ht="15.75" customHeight="1">
      <c r="A997" s="22" t="s">
        <v>1085</v>
      </c>
      <c r="B997" s="23">
        <v>46309.0</v>
      </c>
      <c r="C997" s="22" t="s">
        <v>56</v>
      </c>
      <c r="D997" s="22" t="s">
        <v>108</v>
      </c>
      <c r="E997" s="29">
        <v>259.0</v>
      </c>
      <c r="F997" s="24">
        <v>1250.0</v>
      </c>
      <c r="G997" s="24">
        <v>1250.0</v>
      </c>
      <c r="H997" s="24">
        <v>323750.0</v>
      </c>
      <c r="I997" s="24">
        <v>9364.18</v>
      </c>
      <c r="J997" s="24">
        <v>2722.77</v>
      </c>
      <c r="K997" s="22" t="s">
        <v>114</v>
      </c>
      <c r="L997" s="29">
        <v>4.0</v>
      </c>
      <c r="M997" s="22" t="s">
        <v>1054</v>
      </c>
    </row>
    <row r="998" ht="15.75" customHeight="1">
      <c r="A998" s="22" t="s">
        <v>1086</v>
      </c>
      <c r="B998" s="23">
        <v>46309.0</v>
      </c>
      <c r="C998" s="22" t="s">
        <v>48</v>
      </c>
      <c r="D998" s="22" t="s">
        <v>10</v>
      </c>
      <c r="E998" s="29">
        <v>517.0</v>
      </c>
      <c r="F998" s="24">
        <v>850.0</v>
      </c>
      <c r="G998" s="24">
        <v>850.0</v>
      </c>
      <c r="H998" s="24">
        <v>439450.0</v>
      </c>
      <c r="I998" s="24">
        <v>14632.36</v>
      </c>
      <c r="J998" s="24">
        <v>0.0</v>
      </c>
      <c r="K998" s="22" t="s">
        <v>116</v>
      </c>
      <c r="L998" s="29">
        <v>10.0</v>
      </c>
      <c r="M998" s="22" t="s">
        <v>1054</v>
      </c>
    </row>
    <row r="999" ht="15.75" customHeight="1">
      <c r="A999" s="22" t="s">
        <v>1087</v>
      </c>
      <c r="B999" s="23">
        <v>46310.0</v>
      </c>
      <c r="C999" s="22" t="s">
        <v>38</v>
      </c>
      <c r="D999" s="22" t="s">
        <v>10</v>
      </c>
      <c r="E999" s="29">
        <v>375.0</v>
      </c>
      <c r="F999" s="24">
        <v>845.0</v>
      </c>
      <c r="G999" s="24">
        <v>845.0</v>
      </c>
      <c r="H999" s="24">
        <v>316875.0</v>
      </c>
      <c r="I999" s="24">
        <v>17968.06</v>
      </c>
      <c r="J999" s="24">
        <v>0.0</v>
      </c>
      <c r="K999" s="22" t="s">
        <v>116</v>
      </c>
      <c r="L999" s="29">
        <v>13.0</v>
      </c>
      <c r="M999" s="22" t="s">
        <v>1054</v>
      </c>
    </row>
    <row r="1000" ht="15.75" customHeight="1">
      <c r="A1000" s="22" t="s">
        <v>1088</v>
      </c>
      <c r="B1000" s="23">
        <v>46310.0</v>
      </c>
      <c r="C1000" s="22" t="s">
        <v>56</v>
      </c>
      <c r="D1000" s="22" t="s">
        <v>10</v>
      </c>
      <c r="E1000" s="29">
        <v>179.0</v>
      </c>
      <c r="F1000" s="24">
        <v>820.0</v>
      </c>
      <c r="G1000" s="24">
        <v>820.0</v>
      </c>
      <c r="H1000" s="24">
        <v>146780.0</v>
      </c>
      <c r="I1000" s="24">
        <v>2712.26</v>
      </c>
      <c r="J1000" s="24">
        <v>0.0</v>
      </c>
      <c r="K1000" s="22" t="s">
        <v>116</v>
      </c>
      <c r="L1000" s="29">
        <v>5.0</v>
      </c>
      <c r="M1000" s="22" t="s">
        <v>1054</v>
      </c>
    </row>
    <row r="1001" ht="15.75" customHeight="1">
      <c r="A1001" s="22" t="s">
        <v>1089</v>
      </c>
      <c r="B1001" s="23">
        <v>46310.0</v>
      </c>
      <c r="C1001" s="22" t="s">
        <v>56</v>
      </c>
      <c r="D1001" s="22" t="s">
        <v>49</v>
      </c>
      <c r="E1001" s="29">
        <v>108.0</v>
      </c>
      <c r="F1001" s="24">
        <v>230.0</v>
      </c>
      <c r="G1001" s="24">
        <v>230.0</v>
      </c>
      <c r="H1001" s="24">
        <v>24840.0</v>
      </c>
      <c r="I1001" s="24">
        <v>541.17</v>
      </c>
      <c r="J1001" s="24">
        <v>0.0</v>
      </c>
      <c r="K1001" s="22" t="s">
        <v>116</v>
      </c>
      <c r="L1001" s="29">
        <v>4.0</v>
      </c>
      <c r="M1001" s="22" t="s">
        <v>1054</v>
      </c>
    </row>
  </sheetData>
  <customSheetViews>
    <customSheetView guid="{653EB82C-09A9-44B9-892F-58E5C3EEAC74}" filter="1" showAutoFilter="1">
      <autoFilter ref="$A$1:$M$1001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5.0"/>
    <col customWidth="1" min="3" max="3" width="21.0"/>
    <col customWidth="1" min="4" max="4" width="18.0"/>
    <col customWidth="1" min="5" max="5" width="20.0"/>
    <col customWidth="1" min="6" max="6" width="22.0"/>
  </cols>
  <sheetData>
    <row r="1">
      <c r="A1" s="21" t="s">
        <v>31</v>
      </c>
      <c r="B1" s="21" t="s">
        <v>9</v>
      </c>
      <c r="C1" s="21" t="s">
        <v>99</v>
      </c>
      <c r="D1" s="21" t="s">
        <v>119</v>
      </c>
      <c r="E1" s="21" t="s">
        <v>120</v>
      </c>
      <c r="F1" s="21" t="s">
        <v>121</v>
      </c>
    </row>
    <row r="2">
      <c r="A2" s="22" t="s">
        <v>48</v>
      </c>
      <c r="B2" s="22" t="s">
        <v>10</v>
      </c>
      <c r="C2" s="24">
        <v>850.0</v>
      </c>
      <c r="D2" s="30">
        <v>0.08</v>
      </c>
      <c r="E2" s="30">
        <v>0.03</v>
      </c>
      <c r="F2" s="30">
        <v>0.02</v>
      </c>
    </row>
    <row r="3">
      <c r="A3" s="22" t="s">
        <v>48</v>
      </c>
      <c r="B3" s="22" t="s">
        <v>108</v>
      </c>
      <c r="C3" s="24">
        <v>1300.0</v>
      </c>
      <c r="D3" s="30">
        <v>0.08</v>
      </c>
      <c r="E3" s="30">
        <v>0.03</v>
      </c>
      <c r="F3" s="30">
        <v>0.015</v>
      </c>
    </row>
    <row r="4">
      <c r="A4" s="22" t="s">
        <v>48</v>
      </c>
      <c r="B4" s="22" t="s">
        <v>49</v>
      </c>
      <c r="C4" s="24">
        <v>240.0</v>
      </c>
      <c r="D4" s="30">
        <v>0.08</v>
      </c>
      <c r="E4" s="30">
        <v>0.03</v>
      </c>
      <c r="F4" s="30">
        <v>0.03</v>
      </c>
    </row>
    <row r="5">
      <c r="A5" s="22" t="s">
        <v>38</v>
      </c>
      <c r="B5" s="22" t="s">
        <v>10</v>
      </c>
      <c r="C5" s="24">
        <v>845.0</v>
      </c>
      <c r="D5" s="30">
        <v>0.1</v>
      </c>
      <c r="E5" s="30">
        <v>0.03</v>
      </c>
      <c r="F5" s="30">
        <v>0.02</v>
      </c>
    </row>
    <row r="6">
      <c r="A6" s="22" t="s">
        <v>38</v>
      </c>
      <c r="B6" s="22" t="s">
        <v>108</v>
      </c>
      <c r="C6" s="24">
        <v>1290.0</v>
      </c>
      <c r="D6" s="30">
        <v>0.1</v>
      </c>
      <c r="E6" s="30">
        <v>0.03</v>
      </c>
      <c r="F6" s="30">
        <v>0.015</v>
      </c>
    </row>
    <row r="7">
      <c r="A7" s="22" t="s">
        <v>38</v>
      </c>
      <c r="B7" s="22" t="s">
        <v>49</v>
      </c>
      <c r="C7" s="24">
        <v>235.0</v>
      </c>
      <c r="D7" s="30">
        <v>0.1</v>
      </c>
      <c r="E7" s="30">
        <v>0.03</v>
      </c>
      <c r="F7" s="30">
        <v>0.03</v>
      </c>
    </row>
    <row r="8">
      <c r="A8" s="22" t="s">
        <v>56</v>
      </c>
      <c r="B8" s="22" t="s">
        <v>10</v>
      </c>
      <c r="C8" s="24">
        <v>820.0</v>
      </c>
      <c r="D8" s="30">
        <v>0.05</v>
      </c>
      <c r="E8" s="30">
        <v>0.02</v>
      </c>
      <c r="F8" s="30">
        <v>0.025</v>
      </c>
    </row>
    <row r="9">
      <c r="A9" s="22" t="s">
        <v>56</v>
      </c>
      <c r="B9" s="22" t="s">
        <v>108</v>
      </c>
      <c r="C9" s="24">
        <v>1250.0</v>
      </c>
      <c r="D9" s="30">
        <v>0.05</v>
      </c>
      <c r="E9" s="30">
        <v>0.02</v>
      </c>
      <c r="F9" s="30">
        <v>0.02</v>
      </c>
    </row>
    <row r="10">
      <c r="A10" s="22" t="s">
        <v>56</v>
      </c>
      <c r="B10" s="22" t="s">
        <v>49</v>
      </c>
      <c r="C10" s="24">
        <v>230.0</v>
      </c>
      <c r="D10" s="30">
        <v>0.05</v>
      </c>
      <c r="E10" s="30">
        <v>0.02</v>
      </c>
      <c r="F10" s="30">
        <v>0.035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60E6F16-A8BD-479A-AE2C-31018BE5F582}" filter="1" showAutoFilter="1">
      <autoFilter ref="$A$1:$F$10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